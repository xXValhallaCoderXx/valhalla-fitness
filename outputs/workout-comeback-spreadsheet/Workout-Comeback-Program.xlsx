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af8ee921c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9d686be6254665"/>
    <x:sheet xmlns:r="http://schemas.openxmlformats.org/officeDocument/2006/relationships" name="Setup" sheetId="2" r:id="R988b5d57d4ed4f45"/>
    <x:sheet xmlns:r="http://schemas.openxmlformats.org/officeDocument/2006/relationships" name="Weekly_View" sheetId="3" r:id="Rc49a114e73324d7a"/>
    <x:sheet xmlns:r="http://schemas.openxmlformats.org/officeDocument/2006/relationships" name="History" sheetId="4" r:id="R0245450776b941aa"/>
    <x:sheet xmlns:r="http://schemas.openxmlformats.org/officeDocument/2006/relationships" name="Cycle" sheetId="5" r:id="R1aa3eea705a84478"/>
    <x:sheet xmlns:r="http://schemas.openxmlformats.org/officeDocument/2006/relationships" name="Accessory_Config" sheetId="6" r:id="R86dd2c35ef8b400f"/>
    <x:sheet xmlns:r="http://schemas.openxmlformats.org/officeDocument/2006/relationships" name="Accessory_Log" sheetId="7" r:id="R3306ec5ebd4f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%"/>
    <x:numFmt numFmtId="202" formatCode="yyyy-mm-dd"/>
    <x:numFmt numFmtId="203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FFFFFF"/>
      </x:patternFill>
    </x:fill>
    <x:fill>
      <x:patternFill patternType="solid">
        <x:fgColor rgb="FF92400E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4" borderId="1" xfId="0" applyNumberFormat="1" applyFont="1" applyFill="1" applyBorder="1"/>
    <x:xf numFmtId="201" fontId="3" fillId="4" borderId="1" xfId="0" applyNumberFormat="1" applyFont="1" applyFill="1" applyBorder="1"/>
    <x:xf numFmtId="20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201" fontId="3" fillId="6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202" fontId="3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8" borderId="1" xfId="0" applyNumberFormat="1" applyFont="1" applyFill="1" applyBorder="1"/>
    <x:xf numFmtId="203" fontId="3" fillId="4" borderId="1" xfId="0" applyNumberFormat="1" applyFont="1" applyFill="1" applyBorder="1"/>
    <x:xf numFmtId="0" fontId="3" fillId="3" borderId="1" xfId="0" applyNumberFormat="1" applyFont="1" applyFill="1" applyBorder="1"/>
    <x:xf numFmtId="200" fontId="3" fillId="3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3" fillId="6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3c755ac3c4a42" /><Relationship Type="http://schemas.openxmlformats.org/officeDocument/2006/relationships/theme" Target="/xl/theme/theme1.xml" Id="R663765ddcb6f4df2" /><Relationship Type="http://schemas.openxmlformats.org/officeDocument/2006/relationships/sharedStrings" Target="/xl/sharedStrings.xml" Id="Rabdfb4e910884d97" /><Relationship Type="http://schemas.openxmlformats.org/officeDocument/2006/relationships/worksheet" Target="/xl/worksheets/sheet1.xml" Id="Rf09d686be6254665" /><Relationship Type="http://schemas.openxmlformats.org/officeDocument/2006/relationships/worksheet" Target="/xl/worksheets/sheet2.xml" Id="R988b5d57d4ed4f45" /><Relationship Type="http://schemas.openxmlformats.org/officeDocument/2006/relationships/worksheet" Target="/xl/worksheets/sheet3.xml" Id="Rc49a114e73324d7a" /><Relationship Type="http://schemas.openxmlformats.org/officeDocument/2006/relationships/worksheet" Target="/xl/worksheets/sheet4.xml" Id="R0245450776b941aa" /><Relationship Type="http://schemas.openxmlformats.org/officeDocument/2006/relationships/worksheet" Target="/xl/worksheets/sheet5.xml" Id="R1aa3eea705a84478" /><Relationship Type="http://schemas.openxmlformats.org/officeDocument/2006/relationships/worksheet" Target="/xl/worksheets/sheet6.xml" Id="R86dd2c35ef8b400f" /><Relationship Type="http://schemas.openxmlformats.org/officeDocument/2006/relationships/worksheet" Target="/xl/worksheets/sheet7.xml" Id="R3306ec5ebd4f46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d8b94837a549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Training Maxes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Training Max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'Dashboard'!$F$4:$F$6</c:f>
              <c:strCache>
                <c:ptCount val="0"/>
              </c:strCache>
            </c:strRef>
          </c:cat>
          <c:val>
            <c:numRef>
              <c:f>'Dashboard'!$G$4:$G$6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 kg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d8b94837a549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WeeklyLogTable" displayName="WeeklyLogTable" ref="A5:Y122" headerRowCount="1">
  <x:tableColumns count="25">
    <x:tableColumn id="1" name="Cycle"/>
    <x:tableColumn id="2" name="Week"/>
    <x:tableColumn id="3" name="Date"/>
    <x:tableColumn id="4" name="Day"/>
    <x:tableColumn id="5" name="Session"/>
    <x:tableColumn id="6" name="Block"/>
    <x:tableColumn id="7" name="Item"/>
    <x:tableColumn id="8" name="Exercise"/>
    <x:tableColumn id="9" name="Target"/>
    <x:tableColumn id="10" name="Sets"/>
    <x:tableColumn id="11" name="Planned Wt"/>
    <x:tableColumn id="12" name="Actual Wt"/>
    <x:tableColumn id="13" name="S1 Reps"/>
    <x:tableColumn id="14" name="S1 RIR"/>
    <x:tableColumn id="15" name="S2 Reps"/>
    <x:tableColumn id="16" name="S2 RIR"/>
    <x:tableColumn id="17" name="S3 Reps"/>
    <x:tableColumn id="18" name="S3 RIR"/>
    <x:tableColumn id="19" name="S4 Reps"/>
    <x:tableColumn id="20" name="S4 RIR"/>
    <x:tableColumn id="21" name="S5 Reps"/>
    <x:tableColumn id="22" name="S5 RIR"/>
    <x:tableColumn id="23" name="Status"/>
    <x:tableColumn id="24" name="Notes"/>
    <x:tableColumn id="25" name="Suggested Next"/>
  </x:tableColumns>
  <x:tableStyleInfo name="TableStyleMedium2" showRowStripes="1"/>
</x:table>
</file>

<file path=xl/tables/table2.xml><?xml version="1.0" encoding="utf-8"?>
<x:table xmlns:x="http://schemas.openxmlformats.org/spreadsheetml/2006/main" id="3" name="HistoryTable" displayName="HistoryTable" ref="A5:N122" headerRowCount="1">
  <x:tableColumns count="14">
    <x:tableColumn id="1" name="Date"/>
    <x:tableColumn id="2" name="Cycle"/>
    <x:tableColumn id="3" name="Week"/>
    <x:tableColumn id="4" name="Day"/>
    <x:tableColumn id="5" name="Session"/>
    <x:tableColumn id="6" name="Block"/>
    <x:tableColumn id="7" name="Item"/>
    <x:tableColumn id="8" name="Exercise"/>
    <x:tableColumn id="9" name="Planned Wt"/>
    <x:tableColumn id="10" name="Actual Wt"/>
    <x:tableColumn id="11" name="Total Reps"/>
    <x:tableColumn id="12" name="Avg RIR"/>
    <x:tableColumn id="13" name="Status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CycleTable" displayName="CycleTable" ref="A4:L49" headerRowCount="1">
  <x:tableColumns count="12">
    <x:tableColumn id="1" name="Cycle"/>
    <x:tableColumn id="2" name="Week"/>
    <x:tableColumn id="3" name="Week Name"/>
    <x:tableColumn id="4" name="Day"/>
    <x:tableColumn id="5" name="Lift"/>
    <x:tableColumn id="6" name="Set Type"/>
    <x:tableColumn id="7" name="Set #"/>
    <x:tableColumn id="8" name="% TM"/>
    <x:tableColumn id="9" name="Target"/>
    <x:tableColumn id="10" name="Sets"/>
    <x:tableColumn id="11" name="Weight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ccessoryConfigTable" displayName="AccessoryConfigTable" ref="A5:I23" headerRowCount="1">
  <x:tableColumns count="9">
    <x:tableColumn id="1" name="Session"/>
    <x:tableColumn id="2" name="Slot"/>
    <x:tableColumn id="3" name="Default Exercise"/>
    <x:tableColumn id="4" name="Sets"/>
    <x:tableColumn id="5" name="Rep Low"/>
    <x:tableColumn id="6" name="Rep High"/>
    <x:tableColumn id="7" name="Rest Sec"/>
    <x:tableColumn id="8" name="Increment kg"/>
    <x:tableColumn id="9" name="Swap Pool / Notes"/>
  </x:tableColumns>
  <x:tableStyleInfo name="TableStyleMedium2" showRowStripes="1"/>
</x:table>
</file>

<file path=xl/tables/table5.xml><?xml version="1.0" encoding="utf-8"?>
<x:table xmlns:x="http://schemas.openxmlformats.org/spreadsheetml/2006/main" id="5" name="AccessoryLogTable" displayName="AccessoryLogTable" ref="A5:Q205" headerRowCount="1">
  <x:tableColumns count="17">
    <x:tableColumn id="1" name="Date"/>
    <x:tableColumn id="2" name="Session"/>
    <x:tableColumn id="3" name="Slot"/>
    <x:tableColumn id="4" name="Exercise"/>
    <x:tableColumn id="5" name="Weight"/>
    <x:tableColumn id="6" name="Set1 Reps"/>
    <x:tableColumn id="7" name="Set1 RIR"/>
    <x:tableColumn id="8" name="Set2 Reps"/>
    <x:tableColumn id="9" name="Set2 RIR"/>
    <x:tableColumn id="10" name="Set3 Reps"/>
    <x:tableColumn id="11" name="Set3 RIR"/>
    <x:tableColumn id="12" name="Set4 Reps"/>
    <x:tableColumn id="13" name="Set4 RIR"/>
    <x:tableColumn id="14" name="All Sets Logged?"/>
    <x:tableColumn id="15" name="Hit Top + Reserve?"/>
    <x:tableColumn id="16" name="Suggested Next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4e3e08dfd142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85749ae13f846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370564f160649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a77c4fee2f45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57ec2809b9548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9390079ba2a40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" hidden="0" customWidth="1"/>
    <x:col min="3" max="3" width="15" hidden="0" customWidth="1"/>
    <x:col min="4" max="4" width="15" hidden="0" customWidth="1"/>
    <x:col min="5" max="5" width="3.7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</x:cols>
  <x:sheetData>
    <x:row r="1" ht="25.5" customHeight="1">
      <x:c r="A1" s="3" t="str">
        <x:v>Workout Comeback Dashboard</x:v>
      </x:c>
      <x:c r="B1" s="3" t="str">
        <x:v>Workout Comeback Dashboard</x:v>
      </x:c>
      <x:c r="C1" s="3" t="str">
        <x:v>Workout Comeback Dashboard</x:v>
      </x:c>
      <x:c r="D1" s="3" t="str">
        <x:v>Workout Comeback Dashboard</x:v>
      </x:c>
      <x:c r="E1" s="3" t="str">
        <x:v>Workout Comeback Dashboard</x:v>
      </x:c>
      <x:c r="F1" s="3" t="str">
        <x:v>Workout Comeback Dashboard</x:v>
      </x:c>
      <x:c r="G1" s="3" t="str">
        <x:v>Workout Comeback Dashboard</x:v>
      </x:c>
      <x:c r="H1" s="3" t="str">
        <x:v>Workout Comeback Dashboard</x:v>
      </x:c>
    </x:row>
    <x:row r="3">
      <x:c r="A3" s="13" t="str">
        <x:v>Metric</x:v>
      </x:c>
      <x:c r="B3" s="13" t="str">
        <x:v>Value</x:v>
      </x:c>
      <x:c r="C3" s="13" t="str">
        <x:v>Target / Rule</x:v>
      </x:c>
      <x:c r="D3" s="13" t="str">
        <x:v>Notes</x:v>
      </x:c>
      <x:c r="F3" s="13" t="str">
        <x:v>Lift</x:v>
      </x:c>
      <x:c r="G3" s="13" t="str">
        <x:v>Training Max</x:v>
      </x:c>
    </x:row>
    <x:row r="4">
      <x:c r="A4" s="16" t="str">
        <x:v>Selected Week</x:v>
      </x:c>
      <x:c r="B4" s="16" t="n">
        <x:f>Setup!$B$6</x:f>
        <x:v>1</x:v>
      </x:c>
      <x:c r="C4" s="16" t="str">
        <x:v>1-4</x:v>
      </x:c>
      <x:c r="D4" s="16" t="str">
        <x:v>Use this as the week filter/reference for Weekly_View.</x:v>
      </x:c>
      <x:c r="F4" s="16" t="str">
        <x:v>Squat</x:v>
      </x:c>
      <x:c r="G4" s="19" t="n">
        <x:f>Setup!$G$11</x:f>
        <x:v>102.5</x:v>
      </x:c>
    </x:row>
    <x:row r="5">
      <x:c r="A5" s="16" t="str">
        <x:v>Squat TM</x:v>
      </x:c>
      <x:c r="B5" s="19" t="n">
        <x:f>Setup!$G$11</x:f>
        <x:v>102.5</x:v>
      </x:c>
      <x:c r="C5" s="16" t="str">
        <x:v>Auto</x:v>
      </x:c>
      <x:c r="D5" s="16" t="str">
        <x:v>From Setup table.</x:v>
      </x:c>
      <x:c r="F5" s="16" t="str">
        <x:v>Bench</x:v>
      </x:c>
      <x:c r="G5" s="19" t="n">
        <x:f>Setup!$G$12</x:f>
        <x:v>85</x:v>
      </x:c>
    </x:row>
    <x:row r="6">
      <x:c r="A6" s="16" t="str">
        <x:v>Bench TM</x:v>
      </x:c>
      <x:c r="B6" s="19" t="n">
        <x:f>Setup!$G$12</x:f>
        <x:v>85</x:v>
      </x:c>
      <x:c r="C6" s="16" t="str">
        <x:v>Auto</x:v>
      </x:c>
      <x:c r="D6" s="16" t="str">
        <x:v>Bench uses 80% TM by default.</x:v>
      </x:c>
      <x:c r="F6" s="16" t="str">
        <x:v>Deadlift</x:v>
      </x:c>
      <x:c r="G6" s="19" t="n">
        <x:f>Setup!$G$13</x:f>
        <x:v>190</x:v>
      </x:c>
    </x:row>
    <x:row r="7">
      <x:c r="A7" s="16" t="str">
        <x:v>Deadlift TM</x:v>
      </x:c>
      <x:c r="B7" s="19" t="n">
        <x:f>Setup!$G$13</x:f>
        <x:v>190</x:v>
      </x:c>
      <x:c r="C7" s="16" t="str">
        <x:v>Auto</x:v>
      </x:c>
      <x:c r="D7" s="16" t="str">
        <x:v>From current comeback seed.</x:v>
      </x:c>
    </x:row>
    <x:row r="8">
      <x:c r="A8" s="16" t="str">
        <x:v>Rows Done</x:v>
      </x:c>
      <x:c r="B8" s="16" t="n">
        <x:f>COUNTIF(Weekly_View!$W$6:$W$122,"Done")</x:f>
        <x:v>0</x:v>
      </x:c>
      <x:c r="C8" s="16" t="str">
        <x:v>Weekly_Log</x:v>
      </x:c>
      <x:c r="D8" s="16" t="str">
        <x:v>Rows marked Done in Weekly_View.</x:v>
      </x:c>
    </x:row>
    <x:row r="9">
      <x:c r="A9" s="16" t="str">
        <x:v>Accessory Done</x:v>
      </x:c>
      <x:c r="B9" s="16" t="n">
        <x:f>COUNTIFS(Weekly_View!$F$6:$F$122,"Accessory",Weekly_View!$W$6:$W$122,"Done")</x:f>
        <x:v>0</x:v>
      </x:c>
      <x:c r="C9" s="16" t="str">
        <x:v>Weekly_Log</x:v>
      </x:c>
      <x:c r="D9" s="16" t="str">
        <x:v>Accessory rows marked Done in Weekly_View.</x:v>
      </x:c>
    </x:row>
    <x:row r="10">
      <x:c r="A10" s="16" t="str">
        <x:v>Current Phase</x:v>
      </x:c>
      <x:c r="B10" s="16" t="str">
        <x:v>Rebuild</x:v>
      </x:c>
      <x:c r="C10" s="16" t="str">
        <x:v>Guarded progression</x:v>
      </x:c>
      <x:c r="D10" s="16" t="str">
        <x:v>One heavy deadlift day plus one assistance day.</x:v>
      </x:c>
    </x:row>
    <x:row r="11">
      <x:c r="A11" s="16" t="str">
        <x:v>Rule</x:v>
      </x:c>
      <x:c r="B11" s="16" t="str">
        <x:v>No grinders</x:v>
      </x:c>
      <x:c r="C11" s="16" t="str">
        <x:v>Stop at RPE 8</x:v>
      </x:c>
      <x:c r="D11" s="16" t="str">
        <x:v>Bench pain blocks progression.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64e3e08dfd1424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4.380000114440918" hidden="0" customWidth="1"/>
    <x:col min="3" max="3" width="8.75" hidden="0" customWidth="1"/>
    <x:col min="4" max="4" width="8.75" hidden="0" customWidth="1"/>
    <x:col min="5" max="5" width="10" hidden="0" customWidth="1"/>
    <x:col min="6" max="6" width="14.380000114440918" hidden="0" customWidth="1"/>
    <x:col min="7" max="7" width="15" hidden="0" customWidth="1"/>
    <x:col min="8" max="8" width="42.5" hidden="0" customWidth="1"/>
  </x:cols>
  <x:sheetData>
    <x:row r="1" ht="25.5" customHeight="1">
      <x:c r="A1" s="3" t="str">
        <x:v>Workout Comeback - Setup</x:v>
      </x:c>
      <x:c r="B1" s="3" t="str">
        <x:v>Workout Comeback - Setup</x:v>
      </x:c>
      <x:c r="C1" s="3" t="str">
        <x:v>Workout Comeback - Setup</x:v>
      </x:c>
      <x:c r="D1" s="3" t="str">
        <x:v>Workout Comeback - Setup</x:v>
      </x:c>
      <x:c r="E1" s="3" t="str">
        <x:v>Workout Comeback - Setup</x:v>
      </x:c>
      <x:c r="F1" s="3" t="str">
        <x:v>Workout Comeback - Setup</x:v>
      </x:c>
      <x:c r="G1" s="3" t="str">
        <x:v>Workout Comeback - Setup</x:v>
      </x:c>
      <x:c r="H1" s="3" t="str">
        <x:v>Workout Comeback - Setup</x:v>
      </x:c>
    </x:row>
    <x:row r="4">
      <x:c r="A4" s="5" t="str">
        <x:v>Rounding kg</x:v>
      </x:c>
      <x:c r="B4" s="8" t="n">
        <x:v>2.5</x:v>
      </x:c>
    </x:row>
    <x:row r="5">
      <x:c r="A5" s="5" t="str">
        <x:v>Selected cycle</x:v>
      </x:c>
      <x:c r="B5" s="8" t="n">
        <x:v>1</x:v>
      </x:c>
    </x:row>
    <x:row r="6">
      <x:c r="A6" s="5" t="str">
        <x:v>Selected week</x:v>
      </x:c>
      <x:c r="B6" s="8" t="n">
        <x:v>1</x:v>
      </x:c>
    </x:row>
    <x:row r="7">
      <x:c r="A7" s="5" t="str">
        <x:v>How to use</x:v>
      </x:c>
      <x:c r="B7" s="10" t="str">
        <x:v>Enter a true 1RM as reps=1 and RIR=0, or enter a recent top set with reps/RIR. Yellow cells are inputs.</x:v>
      </x:c>
      <x:c r="C7" s="10"/>
      <x:c r="D7" s="10"/>
      <x:c r="E7" s="10"/>
      <x:c r="F7" s="10"/>
      <x:c r="G7" s="10"/>
      <x:c r="H7" s="10"/>
    </x:row>
    <x:row r="10">
      <x:c r="A10" s="13" t="str">
        <x:v>Lift</x:v>
      </x:c>
      <x:c r="B10" s="13" t="str">
        <x:v>Weight / 1RM</x:v>
      </x:c>
      <x:c r="C10" s="13" t="str">
        <x:v>Reps</x:v>
      </x:c>
      <x:c r="D10" s="13" t="str">
        <x:v>RIR</x:v>
      </x:c>
      <x:c r="E10" s="13" t="str">
        <x:v>TM %</x:v>
      </x:c>
      <x:c r="F10" s="13" t="str">
        <x:v>e1RM</x:v>
      </x:c>
      <x:c r="G10" s="13" t="str">
        <x:v>Training Max</x:v>
      </x:c>
      <x:c r="H10" s="13" t="str">
        <x:v>Notes</x:v>
      </x:c>
    </x:row>
    <x:row r="11">
      <x:c r="A11" s="16" t="str">
        <x:v>Squat</x:v>
      </x:c>
      <x:c r="B11" s="17" t="n">
        <x:v>120</x:v>
      </x:c>
      <x:c r="C11" s="17" t="n">
        <x:v>1</x:v>
      </x:c>
      <x:c r="D11" s="17" t="n">
        <x:v>0</x:v>
      </x:c>
      <x:c r="E11" s="18" t="n">
        <x:v>0.85</x:v>
      </x:c>
      <x:c r="F11" s="19" t="n">
        <x:f>IF(OR(B11="",C11=""),"",IF(AND(C11=1,D11=0),B11,B11*(1+(C11+D11)/30)))</x:f>
        <x:v>120</x:v>
      </x:c>
      <x:c r="G11" s="19" t="n">
        <x:f>IF(F11="","",ROUND(F11*E11/$B$4,0)*$B$4)</x:f>
        <x:v>102.5</x:v>
      </x:c>
      <x:c r="H11" s="20" t="str">
        <x:v>Enter true 1RM as reps=1/RIR=0, or a top set.</x:v>
      </x:c>
    </x:row>
    <x:row r="12">
      <x:c r="A12" s="16" t="str">
        <x:v>Bench</x:v>
      </x:c>
      <x:c r="B12" s="17" t="n">
        <x:v>105</x:v>
      </x:c>
      <x:c r="C12" s="17" t="n">
        <x:v>1</x:v>
      </x:c>
      <x:c r="D12" s="17" t="n">
        <x:v>0</x:v>
      </x:c>
      <x:c r="E12" s="18" t="n">
        <x:v>0.8</x:v>
      </x:c>
      <x:c r="F12" s="19" t="n">
        <x:f>IF(OR(B12="",C12=""),"",IF(AND(C12=1,D12=0),B12,B12*(1+(C12+D12)/30)))</x:f>
        <x:v>105</x:v>
      </x:c>
      <x:c r="G12" s="19" t="n">
        <x:f>IF(F12="","",ROUND(F12*E12/$B$4,0)*$B$4)</x:f>
        <x:v>85</x:v>
      </x:c>
      <x:c r="H12" s="20" t="str">
        <x:v>Shoulder-conservative TM percentage.</x:v>
      </x:c>
    </x:row>
    <x:row r="13">
      <x:c r="A13" s="16" t="str">
        <x:v>Deadlift</x:v>
      </x:c>
      <x:c r="B13" s="17" t="n">
        <x:v>210</x:v>
      </x:c>
      <x:c r="C13" s="17" t="n">
        <x:v>1</x:v>
      </x:c>
      <x:c r="D13" s="17" t="n">
        <x:v>1</x:v>
      </x:c>
      <x:c r="E13" s="18" t="n">
        <x:v>0.85</x:v>
      </x:c>
      <x:c r="F13" s="19" t="n">
        <x:f>IF(OR(B13="",C13=""),"",IF(AND(C13=1,D13=0),B13,B13*(1+(C13+D13)/30)))</x:f>
        <x:v>224</x:v>
      </x:c>
      <x:c r="G13" s="19" t="n">
        <x:f>IF(F13="","",ROUND(F13*E13/$B$4,0)*$B$4)</x:f>
        <x:v>190</x:v>
      </x:c>
      <x:c r="H13" s="20" t="str">
        <x:v>Current comeback seed from the tough single.</x:v>
      </x:c>
    </x:row>
  </x:sheetData>
  <x:mergeCells>
    <x:mergeCell ref="A1:H1"/>
    <x:mergeCell ref="B7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6.880000114440918" hidden="0" customWidth="1"/>
    <x:col min="3" max="3" width="11.880000114440918" hidden="0" customWidth="1"/>
    <x:col min="4" max="4" width="8.130000114440918" hidden="0" customWidth="1"/>
    <x:col min="5" max="5" width="11" hidden="0" customWidth="1"/>
    <x:col min="6" max="6" width="11" hidden="0" customWidth="1"/>
    <x:col min="7" max="7" width="18.1299991607666" hidden="0" customWidth="1"/>
    <x:col min="8" max="8" width="26.25" hidden="0" customWidth="1"/>
    <x:col min="9" max="9" width="9.75" hidden="0" customWidth="1"/>
    <x:col min="10" max="10" width="7.25" hidden="0" customWidth="1"/>
    <x:col min="11" max="11" width="11" hidden="0" customWidth="1"/>
    <x:col min="12" max="12" width="11" hidden="0" customWidth="1"/>
    <x:col min="13" max="13" width="8.75" hidden="0" customWidth="1"/>
    <x:col min="14" max="14" width="7.25" hidden="0" customWidth="1"/>
    <x:col min="15" max="15" width="8.75" hidden="0" customWidth="1"/>
    <x:col min="16" max="16" width="7.25" hidden="0" customWidth="1"/>
    <x:col min="17" max="17" width="8.75" hidden="0" customWidth="1"/>
    <x:col min="18" max="18" width="7.25" hidden="0" customWidth="1"/>
    <x:col min="19" max="19" width="8.75" hidden="0" customWidth="1"/>
    <x:col min="20" max="20" width="7.25" hidden="0" customWidth="1"/>
    <x:col min="21" max="21" width="8.75" hidden="0" customWidth="1"/>
    <x:col min="22" max="22" width="7.25" hidden="0" customWidth="1"/>
    <x:col min="23" max="23" width="10.75" hidden="0" customWidth="1"/>
    <x:col min="24" max="24" width="31.25" hidden="0" customWidth="1"/>
    <x:col min="25" max="25" width="13.75" hidden="0" customWidth="1"/>
  </x:cols>
  <x:sheetData>
    <x:row r="1" ht="25.5" customHeight="1">
      <x:c r="A1" s="3" t="str">
        <x:v>Weekly Logger</x:v>
      </x:c>
      <x:c r="B1" s="3" t="str">
        <x:v>Weekly Logger</x:v>
      </x:c>
      <x:c r="C1" s="3" t="str">
        <x:v>Weekly Logger</x:v>
      </x:c>
      <x:c r="D1" s="3" t="str">
        <x:v>Weekly Logger</x:v>
      </x:c>
      <x:c r="E1" s="3" t="str">
        <x:v>Weekly Logger</x:v>
      </x:c>
      <x:c r="F1" s="3" t="str">
        <x:v>Weekly Logger</x:v>
      </x:c>
      <x:c r="G1" s="3" t="str">
        <x:v>Weekly Logger</x:v>
      </x:c>
      <x:c r="H1" s="3" t="str">
        <x:v>Weekly Logger</x:v>
      </x:c>
      <x:c r="I1" s="3" t="str">
        <x:v>Weekly Logger</x:v>
      </x:c>
      <x:c r="J1" s="3" t="str">
        <x:v>Weekly Logger</x:v>
      </x:c>
      <x:c r="K1" s="3" t="str">
        <x:v>Weekly Logger</x:v>
      </x:c>
      <x:c r="L1" s="3" t="str">
        <x:v>Weekly Logger</x:v>
      </x:c>
      <x:c r="M1" s="3" t="str">
        <x:v>Weekly Logger</x:v>
      </x:c>
      <x:c r="N1" s="3" t="str">
        <x:v>Weekly Logger</x:v>
      </x:c>
      <x:c r="O1" s="3" t="str">
        <x:v>Weekly Logger</x:v>
      </x:c>
      <x:c r="P1" s="3" t="str">
        <x:v>Weekly Logger</x:v>
      </x:c>
      <x:c r="Q1" s="3" t="str">
        <x:v>Weekly Logger</x:v>
      </x:c>
      <x:c r="R1" s="3" t="str">
        <x:v>Weekly Logger</x:v>
      </x:c>
      <x:c r="S1" s="3" t="str">
        <x:v>Weekly Logger</x:v>
      </x:c>
      <x:c r="T1" s="3" t="str">
        <x:v>Weekly Logger</x:v>
      </x:c>
      <x:c r="U1" s="3" t="str">
        <x:v>Weekly Logger</x:v>
      </x:c>
      <x:c r="V1" s="3" t="str">
        <x:v>Weekly Logger</x:v>
      </x:c>
      <x:c r="W1" s="3" t="str">
        <x:v>Weekly Logger</x:v>
      </x:c>
      <x:c r="X1" s="3" t="str">
        <x:v>Weekly Logger</x:v>
      </x:c>
      <x:c r="Y1" s="3" t="str">
        <x:v>Weekly Logger</x:v>
      </x:c>
    </x:row>
    <x:row r="3">
      <x:c r="A3" s="22" t="str">
        <x:v>Type only in yellow cells. These rows are your saved history for Cycle 1; filter Week or Session to focus the view. Mark Status to send completed/skipped rows to History.</x:v>
      </x:c>
      <x:c r="B3" s="22" t="str">
        <x:v>Type only in yellow cells. These rows are your saved history for Cycle 1; filter Week or Session to focus the view. Mark Status to send completed/skipped rows to History.</x:v>
      </x:c>
      <x:c r="C3" s="22" t="str">
        <x:v>Type only in yellow cells. These rows are your saved history for Cycle 1; filter Week or Session to focus the view. Mark Status to send completed/skipped rows to History.</x:v>
      </x:c>
      <x:c r="D3" s="22" t="str">
        <x:v>Type only in yellow cells. These rows are your saved history for Cycle 1; filter Week or Session to focus the view. Mark Status to send completed/skipped rows to History.</x:v>
      </x:c>
      <x:c r="E3" s="22" t="str">
        <x:v>Type only in yellow cells. These rows are your saved history for Cycle 1; filter Week or Session to focus the view. Mark Status to send completed/skipped rows to History.</x:v>
      </x:c>
      <x:c r="F3" s="22" t="str">
        <x:v>Type only in yellow cells. These rows are your saved history for Cycle 1; filter Week or Session to focus the view. Mark Status to send completed/skipped rows to History.</x:v>
      </x:c>
      <x:c r="G3" s="22" t="str">
        <x:v>Type only in yellow cells. These rows are your saved history for Cycle 1; filter Week or Session to focus the view. Mark Status to send completed/skipped rows to History.</x:v>
      </x:c>
      <x:c r="H3" s="22" t="str">
        <x:v>Type only in yellow cells. These rows are your saved history for Cycle 1; filter Week or Session to focus the view. Mark Status to send completed/skipped rows to History.</x:v>
      </x:c>
      <x:c r="I3" s="22" t="str">
        <x:v>Type only in yellow cells. These rows are your saved history for Cycle 1; filter Week or Session to focus the view. Mark Status to send completed/skipped rows to History.</x:v>
      </x:c>
      <x:c r="J3" s="22" t="str">
        <x:v>Type only in yellow cells. These rows are your saved history for Cycle 1; filter Week or Session to focus the view. Mark Status to send completed/skipped rows to History.</x:v>
      </x:c>
      <x:c r="K3" s="22" t="str">
        <x:v>Type only in yellow cells. These rows are your saved history for Cycle 1; filter Week or Session to focus the view. Mark Status to send completed/skipped rows to History.</x:v>
      </x:c>
      <x:c r="L3" s="22" t="str">
        <x:v>Type only in yellow cells. These rows are your saved history for Cycle 1; filter Week or Session to focus the view. Mark Status to send completed/skipped rows to History.</x:v>
      </x:c>
      <x:c r="M3" s="22" t="str">
        <x:v>Type only in yellow cells. These rows are your saved history for Cycle 1; filter Week or Session to focus the view. Mark Status to send completed/skipped rows to History.</x:v>
      </x:c>
      <x:c r="N3" s="22" t="str">
        <x:v>Type only in yellow cells. These rows are your saved history for Cycle 1; filter Week or Session to focus the view. Mark Status to send completed/skipped rows to History.</x:v>
      </x:c>
      <x:c r="O3" s="22" t="str">
        <x:v>Type only in yellow cells. These rows are your saved history for Cycle 1; filter Week or Session to focus the view. Mark Status to send completed/skipped rows to History.</x:v>
      </x:c>
      <x:c r="P3" s="22" t="str">
        <x:v>Type only in yellow cells. These rows are your saved history for Cycle 1; filter Week or Session to focus the view. Mark Status to send completed/skipped rows to History.</x:v>
      </x:c>
      <x:c r="Q3" s="22" t="str">
        <x:v>Type only in yellow cells. These rows are your saved history for Cycle 1; filter Week or Session to focus the view. Mark Status to send completed/skipped rows to History.</x:v>
      </x:c>
      <x:c r="R3" s="22" t="str">
        <x:v>Type only in yellow cells. These rows are your saved history for Cycle 1; filter Week or Session to focus the view. Mark Status to send completed/skipped rows to History.</x:v>
      </x:c>
      <x:c r="S3" s="22" t="str">
        <x:v>Type only in yellow cells. These rows are your saved history for Cycle 1; filter Week or Session to focus the view. Mark Status to send completed/skipped rows to History.</x:v>
      </x:c>
      <x:c r="T3" s="22" t="str">
        <x:v>Type only in yellow cells. These rows are your saved history for Cycle 1; filter Week or Session to focus the view. Mark Status to send completed/skipped rows to History.</x:v>
      </x:c>
      <x:c r="U3" s="22" t="str">
        <x:v>Type only in yellow cells. These rows are your saved history for Cycle 1; filter Week or Session to focus the view. Mark Status to send completed/skipped rows to History.</x:v>
      </x:c>
      <x:c r="V3" s="22" t="str">
        <x:v>Type only in yellow cells. These rows are your saved history for Cycle 1; filter Week or Session to focus the view. Mark Status to send completed/skipped rows to History.</x:v>
      </x:c>
      <x:c r="W3" s="22" t="str">
        <x:v>Type only in yellow cells. These rows are your saved history for Cycle 1; filter Week or Session to focus the view. Mark Status to send completed/skipped rows to History.</x:v>
      </x:c>
      <x:c r="X3" s="22" t="str">
        <x:v>Type only in yellow cells. These rows are your saved history for Cycle 1; filter Week or Session to focus the view. Mark Status to send completed/skipped rows to History.</x:v>
      </x:c>
      <x:c r="Y3" s="22" t="str">
        <x:v>Type only in yellow cells. These rows are your saved history for Cycle 1; filter Week or Session to focus the view. Mark Status to send completed/skipped rows to History.</x:v>
      </x:c>
    </x:row>
    <x:row r="4">
      <x:c r="A4" s="23" t="str">
        <x:v>Planned work</x:v>
      </x:c>
      <x:c r="B4" s="23" t="str">
        <x:v>Planned work</x:v>
      </x:c>
      <x:c r="C4" s="23" t="str">
        <x:v>Planned work</x:v>
      </x:c>
      <x:c r="D4" s="23" t="str">
        <x:v>Planned work</x:v>
      </x:c>
      <x:c r="E4" s="23" t="str">
        <x:v>Planned work</x:v>
      </x:c>
      <x:c r="F4" s="23" t="str">
        <x:v>Planned work</x:v>
      </x:c>
      <x:c r="G4" s="23" t="str">
        <x:v>Planned work</x:v>
      </x:c>
      <x:c r="H4" s="23" t="str">
        <x:v>Planned work</x:v>
      </x:c>
      <x:c r="I4" s="23" t="str">
        <x:v>Planned work</x:v>
      </x:c>
      <x:c r="J4" s="23" t="str">
        <x:v>Planned work</x:v>
      </x:c>
      <x:c r="K4" s="23" t="str">
        <x:v>Planned work</x:v>
      </x:c>
      <x:c r="L4" s="26" t="str">
        <x:v>Your log</x:v>
      </x:c>
      <x:c r="M4" s="26" t="str">
        <x:v>Your log</x:v>
      </x:c>
      <x:c r="N4" s="26" t="str">
        <x:v>Your log</x:v>
      </x:c>
      <x:c r="O4" s="26" t="str">
        <x:v>Your log</x:v>
      </x:c>
      <x:c r="P4" s="26" t="str">
        <x:v>Your log</x:v>
      </x:c>
      <x:c r="Q4" s="26" t="str">
        <x:v>Your log</x:v>
      </x:c>
      <x:c r="R4" s="26" t="str">
        <x:v>Your log</x:v>
      </x:c>
      <x:c r="S4" s="26" t="str">
        <x:v>Your log</x:v>
      </x:c>
      <x:c r="T4" s="26" t="str">
        <x:v>Your log</x:v>
      </x:c>
      <x:c r="U4" s="26" t="str">
        <x:v>Your log</x:v>
      </x:c>
      <x:c r="V4" s="26" t="str">
        <x:v>Your log</x:v>
      </x:c>
      <x:c r="W4" s="26" t="str">
        <x:v>Your log</x:v>
      </x:c>
      <x:c r="X4" s="26" t="str">
        <x:v>Your log</x:v>
      </x:c>
      <x:c r="Y4" s="23" t="str">
        <x:v>Auto</x:v>
      </x:c>
    </x:row>
    <x:row r="5">
      <x:c r="A5" s="13" t="str">
        <x:v>Cycle</x:v>
      </x:c>
      <x:c r="B5" s="13" t="str">
        <x:v>Week</x:v>
      </x:c>
      <x:c r="C5" s="13" t="str">
        <x:v>Date</x:v>
      </x:c>
      <x:c r="D5" s="13" t="str">
        <x:v>Day</x:v>
      </x:c>
      <x:c r="E5" s="13" t="str">
        <x:v>Session</x:v>
      </x:c>
      <x:c r="F5" s="13" t="str">
        <x:v>Block</x:v>
      </x:c>
      <x:c r="G5" s="13" t="str">
        <x:v>Item</x:v>
      </x:c>
      <x:c r="H5" s="13" t="str">
        <x:v>Exercise</x:v>
      </x:c>
      <x:c r="I5" s="13" t="str">
        <x:v>Target</x:v>
      </x:c>
      <x:c r="J5" s="13" t="str">
        <x:v>Sets</x:v>
      </x:c>
      <x:c r="K5" s="13" t="str">
        <x:v>Planned Wt</x:v>
      </x:c>
      <x:c r="L5" s="13" t="str">
        <x:v>Actual Wt</x:v>
      </x:c>
      <x:c r="M5" s="13" t="str">
        <x:v>S1 Reps</x:v>
      </x:c>
      <x:c r="N5" s="13" t="str">
        <x:v>S1 RIR</x:v>
      </x:c>
      <x:c r="O5" s="13" t="str">
        <x:v>S2 Reps</x:v>
      </x:c>
      <x:c r="P5" s="13" t="str">
        <x:v>S2 RIR</x:v>
      </x:c>
      <x:c r="Q5" s="13" t="str">
        <x:v>S3 Reps</x:v>
      </x:c>
      <x:c r="R5" s="13" t="str">
        <x:v>S3 RIR</x:v>
      </x:c>
      <x:c r="S5" s="13" t="str">
        <x:v>S4 Reps</x:v>
      </x:c>
      <x:c r="T5" s="13" t="str">
        <x:v>S4 RIR</x:v>
      </x:c>
      <x:c r="U5" s="13" t="str">
        <x:v>S5 Reps</x:v>
      </x:c>
      <x:c r="V5" s="13" t="str">
        <x:v>S5 RIR</x:v>
      </x:c>
      <x:c r="W5" s="13" t="str">
        <x:v>Status</x:v>
      </x:c>
      <x:c r="X5" s="13" t="str">
        <x:v>Notes</x:v>
      </x:c>
      <x:c r="Y5" s="13" t="str">
        <x:v>Suggested Next</x:v>
      </x:c>
    </x:row>
    <x:row r="6">
      <x:c r="A6" s="28" t="n">
        <x:v>1</x:v>
      </x:c>
      <x:c r="B6" s="28" t="n">
        <x:v>1</x:v>
      </x:c>
      <x:c r="C6" s="30"/>
      <x:c r="D6" s="16" t="str">
        <x:v>Mon</x:v>
      </x:c>
      <x:c r="E6" s="16" t="str">
        <x:v>Squat</x:v>
      </x:c>
      <x:c r="F6" s="16" t="str">
        <x:v>Main</x:v>
      </x:c>
      <x:c r="G6" s="16" t="str">
        <x:v>Set 1</x:v>
      </x:c>
      <x:c r="H6" s="16" t="str">
        <x:v>Squat</x:v>
      </x:c>
      <x:c r="I6" s="16" t="str">
        <x:v>5</x:v>
      </x:c>
      <x:c r="J6" s="19" t="n">
        <x:v>1</x:v>
      </x:c>
      <x:c r="K6" s="19" t="n">
        <x:f>ROUND(INDEX(Setup!$G$11:$G$13,MATCH(E6,Setup!$A$11:$A$13,0))*0.65/Setup!$B$4,0)*Setup!$B$4</x:f>
        <x:v>67.5</x:v>
      </x:c>
      <x:c r="L6" s="31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17"/>
      <x:c r="X6" s="36" t="str"/>
      <x:c r="Y6" s="35"/>
    </x:row>
    <x:row r="7">
      <x:c r="A7" s="28" t="n">
        <x:v>1</x:v>
      </x:c>
      <x:c r="B7" s="28" t="n">
        <x:v>1</x:v>
      </x:c>
      <x:c r="C7" s="30"/>
      <x:c r="D7" s="16" t="str">
        <x:v>Mon</x:v>
      </x:c>
      <x:c r="E7" s="16" t="str">
        <x:v>Squat</x:v>
      </x:c>
      <x:c r="F7" s="16" t="str">
        <x:v>Main</x:v>
      </x:c>
      <x:c r="G7" s="16" t="str">
        <x:v>Set 2</x:v>
      </x:c>
      <x:c r="H7" s="16" t="str">
        <x:v>Squat</x:v>
      </x:c>
      <x:c r="I7" s="16" t="str">
        <x:v>5</x:v>
      </x:c>
      <x:c r="J7" s="19" t="n">
        <x:v>1</x:v>
      </x:c>
      <x:c r="K7" s="19" t="n">
        <x:f>ROUND(INDEX(Setup!$G$11:$G$13,MATCH(E7,Setup!$A$11:$A$13,0))*0.75/Setup!$B$4,0)*Setup!$B$4</x:f>
        <x:v>77.5</x:v>
      </x:c>
      <x:c r="L7" s="31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17"/>
      <x:c r="X7" s="36" t="str"/>
      <x:c r="Y7" s="35"/>
    </x:row>
    <x:row r="8">
      <x:c r="A8" s="28" t="n">
        <x:v>1</x:v>
      </x:c>
      <x:c r="B8" s="28" t="n">
        <x:v>1</x:v>
      </x:c>
      <x:c r="C8" s="30"/>
      <x:c r="D8" s="16" t="str">
        <x:v>Mon</x:v>
      </x:c>
      <x:c r="E8" s="16" t="str">
        <x:v>Squat</x:v>
      </x:c>
      <x:c r="F8" s="16" t="str">
        <x:v>Main</x:v>
      </x:c>
      <x:c r="G8" s="16" t="str">
        <x:v>Top set</x:v>
      </x:c>
      <x:c r="H8" s="16" t="str">
        <x:v>Squat</x:v>
      </x:c>
      <x:c r="I8" s="16" t="str">
        <x:v>5+</x:v>
      </x:c>
      <x:c r="J8" s="19" t="n">
        <x:v>1</x:v>
      </x:c>
      <x:c r="K8" s="19" t="n">
        <x:f>ROUND(INDEX(Setup!$G$11:$G$13,MATCH(E8,Setup!$A$11:$A$13,0))*0.85/Setup!$B$4,0)*Setup!$B$4</x:f>
        <x:v>87.5</x:v>
      </x:c>
      <x:c r="L8" s="31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17"/>
      <x:c r="X8" s="36" t="str">
        <x:v>Cap at RPE 8 / 2+ RIR.</x:v>
      </x:c>
      <x:c r="Y8" s="35"/>
    </x:row>
    <x:row r="9">
      <x:c r="A9" s="28" t="n">
        <x:v>1</x:v>
      </x:c>
      <x:c r="B9" s="28" t="n">
        <x:v>1</x:v>
      </x:c>
      <x:c r="C9" s="30"/>
      <x:c r="D9" s="16" t="str">
        <x:v>Mon</x:v>
      </x:c>
      <x:c r="E9" s="16" t="str">
        <x:v>Squat</x:v>
      </x:c>
      <x:c r="F9" s="16" t="str">
        <x:v>FSL</x:v>
      </x:c>
      <x:c r="G9" s="16" t="str">
        <x:v>First set last</x:v>
      </x:c>
      <x:c r="H9" s="16" t="str">
        <x:v>Squat</x:v>
      </x:c>
      <x:c r="I9" s="16" t="str">
        <x:v>5</x:v>
      </x:c>
      <x:c r="J9" s="19" t="n">
        <x:v>5</x:v>
      </x:c>
      <x:c r="K9" s="19" t="n">
        <x:f>ROUND(INDEX(Setup!$G$11:$G$13,MATCH(E9,Setup!$A$11:$A$13,0))*0.65/Setup!$B$4,0)*Setup!$B$4</x:f>
        <x:v>67.5</x:v>
      </x:c>
      <x:c r="L9" s="31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17"/>
      <x:c r="X9" s="36" t="str">
        <x:v>Same weight each set; cut volume if bar speed slows.</x:v>
      </x:c>
      <x:c r="Y9" s="35"/>
    </x:row>
    <x:row r="10">
      <x:c r="A10" s="29" t="n">
        <x:v>1</x:v>
      </x:c>
      <x:c r="B10" s="29" t="n">
        <x:v>1</x:v>
      </x:c>
      <x:c r="C10" s="30"/>
      <x:c r="D10" s="27" t="str">
        <x:v>Mon</x:v>
      </x:c>
      <x:c r="E10" s="27" t="str">
        <x:v>Squat</x:v>
      </x:c>
      <x:c r="F10" s="27" t="str">
        <x:v>Accessory</x:v>
      </x:c>
      <x:c r="G10" s="27" t="str">
        <x:v>Quad volume</x:v>
      </x:c>
      <x:c r="H10" s="27" t="str">
        <x:f>Accessory_Config!$C$6</x:f>
        <x:v>Leg press</x:v>
      </x:c>
      <x:c r="I10" s="27" t="str">
        <x:f>Accessory_Config!$E$6&amp;"-"&amp;Accessory_Config!$F$6</x:f>
        <x:v>10-12</x:v>
      </x:c>
      <x:c r="J10" s="32" t="n">
        <x:f>Accessory_Config!$D$6</x:f>
        <x:v>3</x:v>
      </x:c>
      <x:c r="K10" s="32"/>
      <x:c r="L10" s="31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17"/>
      <x:c r="X10" s="36" t="str">
        <x:v>Bulgarian split squat; Hack squat</x:v>
      </x:c>
      <x:c r="Y10" s="35" t="str">
        <x:f>IF(L10="","",IF(AND(COUNT(M10,O10,Q10,S10,U10)&gt;=J10,MIN(M10,O10,Q10,IF(J10&gt;=4,S10,999),IF(J10&gt;=5,U10,999))&gt;=Accessory_Config!$F$6,MIN(N10,P10,R10,IF(J10&gt;=4,T10,999),IF(J10&gt;=5,V10,999))&gt;=2),L10+Accessory_Config!$H$6,L10))</x:f>
      </x:c>
    </x:row>
    <x:row r="11">
      <x:c r="A11" s="29" t="n">
        <x:v>1</x:v>
      </x:c>
      <x:c r="B11" s="29" t="n">
        <x:v>1</x:v>
      </x:c>
      <x:c r="C11" s="30"/>
      <x:c r="D11" s="27" t="str">
        <x:v>Mon</x:v>
      </x:c>
      <x:c r="E11" s="27" t="str">
        <x:v>Squat</x:v>
      </x:c>
      <x:c r="F11" s="27" t="str">
        <x:v>Accessory</x:v>
      </x:c>
      <x:c r="G11" s="27" t="str">
        <x:v>Hamstring support</x:v>
      </x:c>
      <x:c r="H11" s="27" t="str">
        <x:f>Accessory_Config!$C$7</x:f>
        <x:v>Lying / seated leg curl</x:v>
      </x:c>
      <x:c r="I11" s="27" t="str">
        <x:f>Accessory_Config!$E$7&amp;"-"&amp;Accessory_Config!$F$7</x:f>
        <x:v>12-15</x:v>
      </x:c>
      <x:c r="J11" s="32" t="n">
        <x:f>Accessory_Config!$D$7</x:f>
        <x:v>3</x:v>
      </x:c>
      <x:c r="K11" s="32"/>
      <x:c r="L11" s="31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17"/>
      <x:c r="X11" s="36" t="str">
        <x:v>Assisted Nordic curl</x:v>
      </x:c>
      <x:c r="Y11" s="35" t="str">
        <x:f>IF(L11="","",IF(AND(COUNT(M11,O11,Q11,S11,U11)&gt;=J11,MIN(M11,O11,Q11,IF(J11&gt;=4,S11,999),IF(J11&gt;=5,U11,999))&gt;=Accessory_Config!$F$7,MIN(N11,P11,R11,IF(J11&gt;=4,T11,999),IF(J11&gt;=5,V11,999))&gt;=2),L11+Accessory_Config!$H$7,L11))</x:f>
      </x:c>
    </x:row>
    <x:row r="12">
      <x:c r="A12" s="29" t="n">
        <x:v>1</x:v>
      </x:c>
      <x:c r="B12" s="29" t="n">
        <x:v>1</x:v>
      </x:c>
      <x:c r="C12" s="30"/>
      <x:c r="D12" s="27" t="str">
        <x:v>Mon</x:v>
      </x:c>
      <x:c r="E12" s="27" t="str">
        <x:v>Squat</x:v>
      </x:c>
      <x:c r="F12" s="27" t="str">
        <x:v>Accessory</x:v>
      </x:c>
      <x:c r="G12" s="27" t="str">
        <x:v>Pressing support</x:v>
      </x:c>
      <x:c r="H12" s="27" t="str">
        <x:f>Accessory_Config!$C$8</x:f>
        <x:v>Triceps pushdown</x:v>
      </x:c>
      <x:c r="I12" s="27" t="str">
        <x:f>Accessory_Config!$E$8&amp;"-"&amp;Accessory_Config!$F$8</x:f>
        <x:v>12-15</x:v>
      </x:c>
      <x:c r="J12" s="32" t="n">
        <x:f>Accessory_Config!$D$8</x:f>
        <x:v>3</x:v>
      </x:c>
      <x:c r="K12" s="32"/>
      <x:c r="L12" s="31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17"/>
      <x:c r="X12" s="36" t="str">
        <x:v>Rope overhead extension if shoulder calm</x:v>
      </x:c>
      <x:c r="Y12" s="35" t="str">
        <x:f>IF(L12="","",IF(AND(COUNT(M12,O12,Q12,S12,U12)&gt;=J12,MIN(M12,O12,Q12,IF(J12&gt;=4,S12,999),IF(J12&gt;=5,U12,999))&gt;=Accessory_Config!$F$8,MIN(N12,P12,R12,IF(J12&gt;=4,T12,999),IF(J12&gt;=5,V12,999))&gt;=2),L12+Accessory_Config!$H$8,L12))</x:f>
      </x:c>
    </x:row>
    <x:row r="13">
      <x:c r="A13" s="29" t="n">
        <x:v>1</x:v>
      </x:c>
      <x:c r="B13" s="29" t="n">
        <x:v>1</x:v>
      </x:c>
      <x:c r="C13" s="30"/>
      <x:c r="D13" s="27" t="str">
        <x:v>Mon</x:v>
      </x:c>
      <x:c r="E13" s="27" t="str">
        <x:v>Squat</x:v>
      </x:c>
      <x:c r="F13" s="27" t="str">
        <x:v>Accessory</x:v>
      </x:c>
      <x:c r="G13" s="27" t="str">
        <x:v>Core</x:v>
      </x:c>
      <x:c r="H13" s="27" t="str">
        <x:f>Accessory_Config!$C$9</x:f>
        <x:v>Hanging leg raise</x:v>
      </x:c>
      <x:c r="I13" s="27" t="str">
        <x:f>Accessory_Config!$E$9&amp;"-"&amp;Accessory_Config!$F$9</x:f>
        <x:v>10-15</x:v>
      </x:c>
      <x:c r="J13" s="32" t="n">
        <x:f>Accessory_Config!$D$9</x:f>
        <x:v>3</x:v>
      </x:c>
      <x:c r="K13" s="32"/>
      <x:c r="L13" s="31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17"/>
      <x:c r="X13" s="36" t="str">
        <x:v>Ab wheel; Plank</x:v>
      </x:c>
      <x:c r="Y13" s="35" t="str">
        <x:f>IF(L13="","",IF(AND(COUNT(M13,O13,Q13,S13,U13)&gt;=J13,MIN(M13,O13,Q13,IF(J13&gt;=4,S13,999),IF(J13&gt;=5,U13,999))&gt;=Accessory_Config!$F$9,MIN(N13,P13,R13,IF(J13&gt;=4,T13,999),IF(J13&gt;=5,V13,999))&gt;=2),L13+Accessory_Config!$H$9,L13))</x:f>
      </x:c>
    </x:row>
    <x:row r="14">
      <x:c r="A14" s="28" t="n">
        <x:v>1</x:v>
      </x:c>
      <x:c r="B14" s="28" t="n">
        <x:v>1</x:v>
      </x:c>
      <x:c r="C14" s="30"/>
      <x:c r="D14" s="16" t="str">
        <x:v>Wed</x:v>
      </x:c>
      <x:c r="E14" s="16" t="str">
        <x:v>Bench</x:v>
      </x:c>
      <x:c r="F14" s="16" t="str">
        <x:v>Main</x:v>
      </x:c>
      <x:c r="G14" s="16" t="str">
        <x:v>Set 1</x:v>
      </x:c>
      <x:c r="H14" s="16" t="str">
        <x:v>Bench</x:v>
      </x:c>
      <x:c r="I14" s="16" t="str">
        <x:v>5</x:v>
      </x:c>
      <x:c r="J14" s="19" t="n">
        <x:v>1</x:v>
      </x:c>
      <x:c r="K14" s="19" t="n">
        <x:f>ROUND(INDEX(Setup!$G$11:$G$13,MATCH(E14,Setup!$A$11:$A$13,0))*0.65/Setup!$B$4,0)*Setup!$B$4</x:f>
        <x:v>55</x:v>
      </x:c>
      <x:c r="L14" s="31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17"/>
      <x:c r="X14" s="36" t="str"/>
      <x:c r="Y14" s="35"/>
    </x:row>
    <x:row r="15">
      <x:c r="A15" s="28" t="n">
        <x:v>1</x:v>
      </x:c>
      <x:c r="B15" s="28" t="n">
        <x:v>1</x:v>
      </x:c>
      <x:c r="C15" s="30"/>
      <x:c r="D15" s="16" t="str">
        <x:v>Wed</x:v>
      </x:c>
      <x:c r="E15" s="16" t="str">
        <x:v>Bench</x:v>
      </x:c>
      <x:c r="F15" s="16" t="str">
        <x:v>Main</x:v>
      </x:c>
      <x:c r="G15" s="16" t="str">
        <x:v>Set 2</x:v>
      </x:c>
      <x:c r="H15" s="16" t="str">
        <x:v>Bench</x:v>
      </x:c>
      <x:c r="I15" s="16" t="str">
        <x:v>5</x:v>
      </x:c>
      <x:c r="J15" s="19" t="n">
        <x:v>1</x:v>
      </x:c>
      <x:c r="K15" s="19" t="n">
        <x:f>ROUND(INDEX(Setup!$G$11:$G$13,MATCH(E15,Setup!$A$11:$A$13,0))*0.75/Setup!$B$4,0)*Setup!$B$4</x:f>
        <x:v>65</x:v>
      </x:c>
      <x:c r="L15" s="31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17"/>
      <x:c r="X15" s="36" t="str"/>
      <x:c r="Y15" s="35"/>
    </x:row>
    <x:row r="16">
      <x:c r="A16" s="28" t="n">
        <x:v>1</x:v>
      </x:c>
      <x:c r="B16" s="28" t="n">
        <x:v>1</x:v>
      </x:c>
      <x:c r="C16" s="30"/>
      <x:c r="D16" s="16" t="str">
        <x:v>Wed</x:v>
      </x:c>
      <x:c r="E16" s="16" t="str">
        <x:v>Bench</x:v>
      </x:c>
      <x:c r="F16" s="16" t="str">
        <x:v>Main</x:v>
      </x:c>
      <x:c r="G16" s="16" t="str">
        <x:v>Top set</x:v>
      </x:c>
      <x:c r="H16" s="16" t="str">
        <x:v>Bench</x:v>
      </x:c>
      <x:c r="I16" s="16" t="str">
        <x:v>5</x:v>
      </x:c>
      <x:c r="J16" s="19" t="n">
        <x:v>1</x:v>
      </x:c>
      <x:c r="K16" s="19" t="n">
        <x:f>ROUND(INDEX(Setup!$G$11:$G$13,MATCH(E16,Setup!$A$11:$A$13,0))*0.85/Setup!$B$4,0)*Setup!$B$4</x:f>
        <x:v>72.5</x:v>
      </x:c>
      <x:c r="L16" s="31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17"/>
      <x:c r="X16" s="36" t="str">
        <x:v>No AMRAP; stop with shoulder calm.</x:v>
      </x:c>
      <x:c r="Y16" s="35"/>
    </x:row>
    <x:row r="17">
      <x:c r="A17" s="28" t="n">
        <x:v>1</x:v>
      </x:c>
      <x:c r="B17" s="28" t="n">
        <x:v>1</x:v>
      </x:c>
      <x:c r="C17" s="30"/>
      <x:c r="D17" s="16" t="str">
        <x:v>Wed</x:v>
      </x:c>
      <x:c r="E17" s="16" t="str">
        <x:v>Bench</x:v>
      </x:c>
      <x:c r="F17" s="16" t="str">
        <x:v>FSL</x:v>
      </x:c>
      <x:c r="G17" s="16" t="str">
        <x:v>First set last</x:v>
      </x:c>
      <x:c r="H17" s="16" t="str">
        <x:v>Bench</x:v>
      </x:c>
      <x:c r="I17" s="16" t="str">
        <x:v>5</x:v>
      </x:c>
      <x:c r="J17" s="19" t="n">
        <x:v>5</x:v>
      </x:c>
      <x:c r="K17" s="19" t="n">
        <x:f>ROUND(INDEX(Setup!$G$11:$G$13,MATCH(E17,Setup!$A$11:$A$13,0))*0.65/Setup!$B$4,0)*Setup!$B$4</x:f>
        <x:v>55</x:v>
      </x:c>
      <x:c r="L17" s="31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17"/>
      <x:c r="X17" s="36" t="str">
        <x:v>Same weight each set; cut volume if bar speed slows.</x:v>
      </x:c>
      <x:c r="Y17" s="35"/>
    </x:row>
    <x:row r="18">
      <x:c r="A18" s="29" t="n">
        <x:v>1</x:v>
      </x:c>
      <x:c r="B18" s="29" t="n">
        <x:v>1</x:v>
      </x:c>
      <x:c r="C18" s="30"/>
      <x:c r="D18" s="27" t="str">
        <x:v>Wed</x:v>
      </x:c>
      <x:c r="E18" s="27" t="str">
        <x:v>Bench</x:v>
      </x:c>
      <x:c r="F18" s="27" t="str">
        <x:v>Accessory</x:v>
      </x:c>
      <x:c r="G18" s="27" t="str">
        <x:v>Heavy row</x:v>
      </x:c>
      <x:c r="H18" s="27" t="str">
        <x:f>Accessory_Config!$C$10</x:f>
        <x:v>Chest-supported row</x:v>
      </x:c>
      <x:c r="I18" s="27" t="str">
        <x:f>Accessory_Config!$E$10&amp;"-"&amp;Accessory_Config!$F$10</x:f>
        <x:v>8-12</x:v>
      </x:c>
      <x:c r="J18" s="32" t="n">
        <x:f>Accessory_Config!$D$10</x:f>
        <x:v>4</x:v>
      </x:c>
      <x:c r="K18" s="32"/>
      <x:c r="L18" s="31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17"/>
      <x:c r="X18" s="36" t="str">
        <x:v>Seal row; DB row</x:v>
      </x:c>
      <x:c r="Y18" s="35" t="str">
        <x:f>IF(L18="","",IF(AND(COUNT(M18,O18,Q18,S18,U18)&gt;=J18,MIN(M18,O18,Q18,IF(J18&gt;=4,S18,999),IF(J18&gt;=5,U18,999))&gt;=Accessory_Config!$F$10,MIN(N18,P18,R18,IF(J18&gt;=4,T18,999),IF(J18&gt;=5,V18,999))&gt;=2),L18+Accessory_Config!$H$10,L18))</x:f>
      </x:c>
    </x:row>
    <x:row r="19">
      <x:c r="A19" s="29" t="n">
        <x:v>1</x:v>
      </x:c>
      <x:c r="B19" s="29" t="n">
        <x:v>1</x:v>
      </x:c>
      <x:c r="C19" s="30"/>
      <x:c r="D19" s="27" t="str">
        <x:v>Wed</x:v>
      </x:c>
      <x:c r="E19" s="27" t="str">
        <x:v>Bench</x:v>
      </x:c>
      <x:c r="F19" s="27" t="str">
        <x:v>Accessory</x:v>
      </x:c>
      <x:c r="G19" s="27" t="str">
        <x:v>Vertical pull</x:v>
      </x:c>
      <x:c r="H19" s="27" t="str">
        <x:f>Accessory_Config!$C$11</x:f>
        <x:v>Neutral-grip lat pulldown</x:v>
      </x:c>
      <x:c r="I19" s="27" t="str">
        <x:f>Accessory_Config!$E$11&amp;"-"&amp;Accessory_Config!$F$11</x:f>
        <x:v>10-12</x:v>
      </x:c>
      <x:c r="J19" s="32" t="n">
        <x:f>Accessory_Config!$D$11</x:f>
        <x:v>3</x:v>
      </x:c>
      <x:c r="K19" s="32"/>
      <x:c r="L19" s="31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17"/>
      <x:c r="X19" s="36" t="str">
        <x:v>Assisted pull-up</x:v>
      </x:c>
      <x:c r="Y19" s="35" t="str">
        <x:f>IF(L19="","",IF(AND(COUNT(M19,O19,Q19,S19,U19)&gt;=J19,MIN(M19,O19,Q19,IF(J19&gt;=4,S19,999),IF(J19&gt;=5,U19,999))&gt;=Accessory_Config!$F$11,MIN(N19,P19,R19,IF(J19&gt;=4,T19,999),IF(J19&gt;=5,V19,999))&gt;=2),L19+Accessory_Config!$H$11,L19))</x:f>
      </x:c>
    </x:row>
    <x:row r="20">
      <x:c r="A20" s="29" t="n">
        <x:v>1</x:v>
      </x:c>
      <x:c r="B20" s="29" t="n">
        <x:v>1</x:v>
      </x:c>
      <x:c r="C20" s="30"/>
      <x:c r="D20" s="27" t="str">
        <x:v>Wed</x:v>
      </x:c>
      <x:c r="E20" s="27" t="str">
        <x:v>Bench</x:v>
      </x:c>
      <x:c r="F20" s="27" t="str">
        <x:v>Accessory</x:v>
      </x:c>
      <x:c r="G20" s="27" t="str">
        <x:v>Optional press</x:v>
      </x:c>
      <x:c r="H20" s="27" t="str">
        <x:f>Accessory_Config!$C$12</x:f>
        <x:v>Incline DB press neutral grip</x:v>
      </x:c>
      <x:c r="I20" s="27" t="str">
        <x:f>Accessory_Config!$E$12&amp;"-"&amp;Accessory_Config!$F$12</x:f>
        <x:v>8-12</x:v>
      </x:c>
      <x:c r="J20" s="32" t="n">
        <x:f>Accessory_Config!$D$12</x:f>
        <x:v>3</x:v>
      </x:c>
      <x:c r="K20" s="32"/>
      <x:c r="L20" s="31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17"/>
      <x:c r="X20" s="36" t="str">
        <x:v>Only if pain-free; Machine press; Push-up handles</x:v>
      </x:c>
      <x:c r="Y20" s="35" t="str">
        <x:f>IF(L20="","",IF(AND(COUNT(M20,O20,Q20,S20,U20)&gt;=J20,MIN(M20,O20,Q20,IF(J20&gt;=4,S20,999),IF(J20&gt;=5,U20,999))&gt;=Accessory_Config!$F$12,MIN(N20,P20,R20,IF(J20&gt;=4,T20,999),IF(J20&gt;=5,V20,999))&gt;=2),L20+Accessory_Config!$H$12,L20))</x:f>
      </x:c>
    </x:row>
    <x:row r="21">
      <x:c r="A21" s="29" t="n">
        <x:v>1</x:v>
      </x:c>
      <x:c r="B21" s="29" t="n">
        <x:v>1</x:v>
      </x:c>
      <x:c r="C21" s="30"/>
      <x:c r="D21" s="27" t="str">
        <x:v>Wed</x:v>
      </x:c>
      <x:c r="E21" s="27" t="str">
        <x:v>Bench</x:v>
      </x:c>
      <x:c r="F21" s="27" t="str">
        <x:v>Accessory</x:v>
      </x:c>
      <x:c r="G21" s="27" t="str">
        <x:v>Arm balance</x:v>
      </x:c>
      <x:c r="H21" s="27" t="str">
        <x:f>Accessory_Config!$C$13</x:f>
        <x:v>DB hammer curl</x:v>
      </x:c>
      <x:c r="I21" s="27" t="str">
        <x:f>Accessory_Config!$E$13&amp;"-"&amp;Accessory_Config!$F$13</x:f>
        <x:v>12-12</x:v>
      </x:c>
      <x:c r="J21" s="32" t="n">
        <x:f>Accessory_Config!$D$13</x:f>
        <x:v>3</x:v>
      </x:c>
      <x:c r="K21" s="32"/>
      <x:c r="L21" s="31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17"/>
      <x:c r="X21" s="36" t="str">
        <x:v>Cable curl</x:v>
      </x:c>
      <x:c r="Y21" s="35" t="str">
        <x:f>IF(L21="","",IF(AND(COUNT(M21,O21,Q21,S21,U21)&gt;=J21,MIN(M21,O21,Q21,IF(J21&gt;=4,S21,999),IF(J21&gt;=5,U21,999))&gt;=Accessory_Config!$F$13,MIN(N21,P21,R21,IF(J21&gt;=4,T21,999),IF(J21&gt;=5,V21,999))&gt;=2),L21+Accessory_Config!$H$13,L21))</x:f>
      </x:c>
    </x:row>
    <x:row r="22">
      <x:c r="A22" s="29" t="n">
        <x:v>1</x:v>
      </x:c>
      <x:c r="B22" s="29" t="n">
        <x:v>1</x:v>
      </x:c>
      <x:c r="C22" s="30"/>
      <x:c r="D22" s="27" t="str">
        <x:v>Wed</x:v>
      </x:c>
      <x:c r="E22" s="27" t="str">
        <x:v>Bench</x:v>
      </x:c>
      <x:c r="F22" s="27" t="str">
        <x:v>Accessory</x:v>
      </x:c>
      <x:c r="G22" s="27" t="str">
        <x:v>Shoulder prehab</x:v>
      </x:c>
      <x:c r="H22" s="27" t="str">
        <x:f>Accessory_Config!$C$14</x:f>
        <x:v>Face pulls + band external rotation</x:v>
      </x:c>
      <x:c r="I22" s="27" t="str">
        <x:f>Accessory_Config!$E$14&amp;"-"&amp;Accessory_Config!$F$14</x:f>
        <x:v>15-20</x:v>
      </x:c>
      <x:c r="J22" s="32" t="n">
        <x:f>Accessory_Config!$D$14</x:f>
        <x:v>4</x:v>
      </x:c>
      <x:c r="K22" s="32"/>
      <x:c r="L22" s="31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17"/>
      <x:c r="X22" s="36" t="str">
        <x:v>Band pull-apart</x:v>
      </x:c>
      <x:c r="Y22" s="35" t="str">
        <x:f>IF(L22="","",IF(AND(COUNT(M22,O22,Q22,S22,U22)&gt;=J22,MIN(M22,O22,Q22,IF(J22&gt;=4,S22,999),IF(J22&gt;=5,U22,999))&gt;=Accessory_Config!$F$14,MIN(N22,P22,R22,IF(J22&gt;=4,T22,999),IF(J22&gt;=5,V22,999))&gt;=2),L22+Accessory_Config!$H$14,L22))</x:f>
      </x:c>
    </x:row>
    <x:row r="23">
      <x:c r="A23" s="29" t="n">
        <x:v>1</x:v>
      </x:c>
      <x:c r="B23" s="29" t="n">
        <x:v>1</x:v>
      </x:c>
      <x:c r="C23" s="30"/>
      <x:c r="D23" s="27" t="str">
        <x:v>Thu</x:v>
      </x:c>
      <x:c r="E23" s="27" t="str">
        <x:v>Assist</x:v>
      </x:c>
      <x:c r="F23" s="27" t="str">
        <x:v>Accessory</x:v>
      </x:c>
      <x:c r="G23" s="27" t="str">
        <x:v>Technique squat</x:v>
      </x:c>
      <x:c r="H23" s="27" t="str">
        <x:f>Accessory_Config!$C$15</x:f>
        <x:v>Paused squat technique</x:v>
      </x:c>
      <x:c r="I23" s="27" t="str">
        <x:f>Accessory_Config!$E$15&amp;"-"&amp;Accessory_Config!$F$15</x:f>
        <x:v>3-3</x:v>
      </x:c>
      <x:c r="J23" s="32" t="n">
        <x:f>Accessory_Config!$D$15</x:f>
        <x:v>3</x:v>
      </x:c>
      <x:c r="K23" s="32"/>
      <x:c r="L23" s="31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17"/>
      <x:c r="X23" s="36" t="str">
        <x:v>Light crisp triples only; no grinding</x:v>
      </x:c>
      <x:c r="Y23" s="35" t="str">
        <x:f>IF(L23="","",IF(AND(COUNT(M23,O23,Q23,S23,U23)&gt;=J23,MIN(M23,O23,Q23,IF(J23&gt;=4,S23,999),IF(J23&gt;=5,U23,999))&gt;=Accessory_Config!$F$15,MIN(N23,P23,R23,IF(J23&gt;=4,T23,999),IF(J23&gt;=5,V23,999))&gt;=2),L23+Accessory_Config!$H$15,L23))</x:f>
      </x:c>
    </x:row>
    <x:row r="24">
      <x:c r="A24" s="29" t="n">
        <x:v>1</x:v>
      </x:c>
      <x:c r="B24" s="29" t="n">
        <x:v>1</x:v>
      </x:c>
      <x:c r="C24" s="30"/>
      <x:c r="D24" s="27" t="str">
        <x:v>Thu</x:v>
      </x:c>
      <x:c r="E24" s="27" t="str">
        <x:v>Assist</x:v>
      </x:c>
      <x:c r="F24" s="27" t="str">
        <x:v>Accessory</x:v>
      </x:c>
      <x:c r="G24" s="27" t="str">
        <x:v>Upper back volume</x:v>
      </x:c>
      <x:c r="H24" s="27" t="str">
        <x:f>Accessory_Config!$C$16</x:f>
        <x:v>Chest-supported row</x:v>
      </x:c>
      <x:c r="I24" s="27" t="str">
        <x:f>Accessory_Config!$E$16&amp;"-"&amp;Accessory_Config!$F$16</x:f>
        <x:v>10-12</x:v>
      </x:c>
      <x:c r="J24" s="32" t="n">
        <x:f>Accessory_Config!$D$16</x:f>
        <x:v>4</x:v>
      </x:c>
      <x:c r="K24" s="32"/>
      <x:c r="L24" s="31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17"/>
      <x:c r="X24" s="36" t="str">
        <x:v>Seal row; DB row</x:v>
      </x:c>
      <x:c r="Y24" s="35" t="str">
        <x:f>IF(L24="","",IF(AND(COUNT(M24,O24,Q24,S24,U24)&gt;=J24,MIN(M24,O24,Q24,IF(J24&gt;=4,S24,999),IF(J24&gt;=5,U24,999))&gt;=Accessory_Config!$F$16,MIN(N24,P24,R24,IF(J24&gt;=4,T24,999),IF(J24&gt;=5,V24,999))&gt;=2),L24+Accessory_Config!$H$16,L24))</x:f>
      </x:c>
    </x:row>
    <x:row r="25">
      <x:c r="A25" s="29" t="n">
        <x:v>1</x:v>
      </x:c>
      <x:c r="B25" s="29" t="n">
        <x:v>1</x:v>
      </x:c>
      <x:c r="C25" s="30"/>
      <x:c r="D25" s="27" t="str">
        <x:v>Thu</x:v>
      </x:c>
      <x:c r="E25" s="27" t="str">
        <x:v>Assist</x:v>
      </x:c>
      <x:c r="F25" s="27" t="str">
        <x:v>Accessory</x:v>
      </x:c>
      <x:c r="G25" s="27" t="str">
        <x:v>Lat volume</x:v>
      </x:c>
      <x:c r="H25" s="27" t="str">
        <x:f>Accessory_Config!$C$17</x:f>
        <x:v>Neutral-grip lat pulldown</x:v>
      </x:c>
      <x:c r="I25" s="27" t="str">
        <x:f>Accessory_Config!$E$17&amp;"-"&amp;Accessory_Config!$F$17</x:f>
        <x:v>10-12</x:v>
      </x:c>
      <x:c r="J25" s="32" t="n">
        <x:f>Accessory_Config!$D$17</x:f>
        <x:v>3</x:v>
      </x:c>
      <x:c r="K25" s="32"/>
      <x:c r="L25" s="31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17"/>
      <x:c r="X25" s="36" t="str">
        <x:v>Assisted pull-up</x:v>
      </x:c>
      <x:c r="Y25" s="35" t="str">
        <x:f>IF(L25="","",IF(AND(COUNT(M25,O25,Q25,S25,U25)&gt;=J25,MIN(M25,O25,Q25,IF(J25&gt;=4,S25,999),IF(J25&gt;=5,U25,999))&gt;=Accessory_Config!$F$17,MIN(N25,P25,R25,IF(J25&gt;=4,T25,999),IF(J25&gt;=5,V25,999))&gt;=2),L25+Accessory_Config!$H$17,L25))</x:f>
      </x:c>
    </x:row>
    <x:row r="26">
      <x:c r="A26" s="29" t="n">
        <x:v>1</x:v>
      </x:c>
      <x:c r="B26" s="29" t="n">
        <x:v>1</x:v>
      </x:c>
      <x:c r="C26" s="30"/>
      <x:c r="D26" s="27" t="str">
        <x:v>Thu</x:v>
      </x:c>
      <x:c r="E26" s="27" t="str">
        <x:v>Assist</x:v>
      </x:c>
      <x:c r="F26" s="27" t="str">
        <x:v>Accessory</x:v>
      </x:c>
      <x:c r="G26" s="27" t="str">
        <x:v>Shoulder-safe press</x:v>
      </x:c>
      <x:c r="H26" s="27" t="str">
        <x:f>Accessory_Config!$C$18</x:f>
        <x:v>DB floor press</x:v>
      </x:c>
      <x:c r="I26" s="27" t="str">
        <x:f>Accessory_Config!$E$18&amp;"-"&amp;Accessory_Config!$F$18</x:f>
        <x:v>8-12</x:v>
      </x:c>
      <x:c r="J26" s="32" t="n">
        <x:f>Accessory_Config!$D$18</x:f>
        <x:v>3</x:v>
      </x:c>
      <x:c r="K26" s="32"/>
      <x:c r="L26" s="31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17"/>
      <x:c r="X26" s="36" t="str">
        <x:v>Optional if shoulder is calm; Push-up handles; Machine press</x:v>
      </x:c>
      <x:c r="Y26" s="35" t="str">
        <x:f>IF(L26="","",IF(AND(COUNT(M26,O26,Q26,S26,U26)&gt;=J26,MIN(M26,O26,Q26,IF(J26&gt;=4,S26,999),IF(J26&gt;=5,U26,999))&gt;=Accessory_Config!$F$18,MIN(N26,P26,R26,IF(J26&gt;=4,T26,999),IF(J26&gt;=5,V26,999))&gt;=2),L26+Accessory_Config!$H$18,L26))</x:f>
      </x:c>
    </x:row>
    <x:row r="27">
      <x:c r="A27" s="29" t="n">
        <x:v>1</x:v>
      </x:c>
      <x:c r="B27" s="29" t="n">
        <x:v>1</x:v>
      </x:c>
      <x:c r="C27" s="30"/>
      <x:c r="D27" s="27" t="str">
        <x:v>Thu</x:v>
      </x:c>
      <x:c r="E27" s="27" t="str">
        <x:v>Assist</x:v>
      </x:c>
      <x:c r="F27" s="27" t="str">
        <x:v>Accessory</x:v>
      </x:c>
      <x:c r="G27" s="27" t="str">
        <x:v>Prehab + core</x:v>
      </x:c>
      <x:c r="H27" s="27" t="str">
        <x:f>Accessory_Config!$C$19</x:f>
        <x:v>Face pulls + band external rotation</x:v>
      </x:c>
      <x:c r="I27" s="27" t="str">
        <x:f>Accessory_Config!$E$19&amp;"-"&amp;Accessory_Config!$F$19</x:f>
        <x:v>15-20</x:v>
      </x:c>
      <x:c r="J27" s="32" t="n">
        <x:f>Accessory_Config!$D$19</x:f>
        <x:v>3</x:v>
      </x:c>
      <x:c r="K27" s="32"/>
      <x:c r="L27" s="31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17"/>
      <x:c r="X27" s="36" t="str">
        <x:v>Band pull-apart; Plank</x:v>
      </x:c>
      <x:c r="Y27" s="35" t="str">
        <x:f>IF(L27="","",IF(AND(COUNT(M27,O27,Q27,S27,U27)&gt;=J27,MIN(M27,O27,Q27,IF(J27&gt;=4,S27,999),IF(J27&gt;=5,U27,999))&gt;=Accessory_Config!$F$19,MIN(N27,P27,R27,IF(J27&gt;=4,T27,999),IF(J27&gt;=5,V27,999))&gt;=2),L27+Accessory_Config!$H$19,L27))</x:f>
      </x:c>
    </x:row>
    <x:row r="28">
      <x:c r="A28" s="28" t="n">
        <x:v>1</x:v>
      </x:c>
      <x:c r="B28" s="28" t="n">
        <x:v>1</x:v>
      </x:c>
      <x:c r="C28" s="30"/>
      <x:c r="D28" s="16" t="str">
        <x:v>Fri</x:v>
      </x:c>
      <x:c r="E28" s="16" t="str">
        <x:v>Deadlift</x:v>
      </x:c>
      <x:c r="F28" s="16" t="str">
        <x:v>Main</x:v>
      </x:c>
      <x:c r="G28" s="16" t="str">
        <x:v>Set 1</x:v>
      </x:c>
      <x:c r="H28" s="16" t="str">
        <x:v>Deadlift</x:v>
      </x:c>
      <x:c r="I28" s="16" t="str">
        <x:v>5</x:v>
      </x:c>
      <x:c r="J28" s="19" t="n">
        <x:v>1</x:v>
      </x:c>
      <x:c r="K28" s="19" t="n">
        <x:f>ROUND(INDEX(Setup!$G$11:$G$13,MATCH(E28,Setup!$A$11:$A$13,0))*0.65/Setup!$B$4,0)*Setup!$B$4</x:f>
        <x:v>122.5</x:v>
      </x:c>
      <x:c r="L28" s="31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17"/>
      <x:c r="X28" s="36" t="str"/>
      <x:c r="Y28" s="35"/>
    </x:row>
    <x:row r="29">
      <x:c r="A29" s="28" t="n">
        <x:v>1</x:v>
      </x:c>
      <x:c r="B29" s="28" t="n">
        <x:v>1</x:v>
      </x:c>
      <x:c r="C29" s="30"/>
      <x:c r="D29" s="16" t="str">
        <x:v>Fri</x:v>
      </x:c>
      <x:c r="E29" s="16" t="str">
        <x:v>Deadlift</x:v>
      </x:c>
      <x:c r="F29" s="16" t="str">
        <x:v>Main</x:v>
      </x:c>
      <x:c r="G29" s="16" t="str">
        <x:v>Set 2</x:v>
      </x:c>
      <x:c r="H29" s="16" t="str">
        <x:v>Deadlift</x:v>
      </x:c>
      <x:c r="I29" s="16" t="str">
        <x:v>5</x:v>
      </x:c>
      <x:c r="J29" s="19" t="n">
        <x:v>1</x:v>
      </x:c>
      <x:c r="K29" s="19" t="n">
        <x:f>ROUND(INDEX(Setup!$G$11:$G$13,MATCH(E29,Setup!$A$11:$A$13,0))*0.75/Setup!$B$4,0)*Setup!$B$4</x:f>
        <x:v>142.5</x:v>
      </x:c>
      <x:c r="L29" s="31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17"/>
      <x:c r="X29" s="36" t="str"/>
      <x:c r="Y29" s="35"/>
    </x:row>
    <x:row r="30">
      <x:c r="A30" s="28" t="n">
        <x:v>1</x:v>
      </x:c>
      <x:c r="B30" s="28" t="n">
        <x:v>1</x:v>
      </x:c>
      <x:c r="C30" s="30"/>
      <x:c r="D30" s="16" t="str">
        <x:v>Fri</x:v>
      </x:c>
      <x:c r="E30" s="16" t="str">
        <x:v>Deadlift</x:v>
      </x:c>
      <x:c r="F30" s="16" t="str">
        <x:v>Main</x:v>
      </x:c>
      <x:c r="G30" s="16" t="str">
        <x:v>Top set</x:v>
      </x:c>
      <x:c r="H30" s="16" t="str">
        <x:v>Deadlift</x:v>
      </x:c>
      <x:c r="I30" s="16" t="str">
        <x:v>5+</x:v>
      </x:c>
      <x:c r="J30" s="19" t="n">
        <x:v>1</x:v>
      </x:c>
      <x:c r="K30" s="19" t="n">
        <x:f>ROUND(INDEX(Setup!$G$11:$G$13,MATCH(E30,Setup!$A$11:$A$13,0))*0.85/Setup!$B$4,0)*Setup!$B$4</x:f>
        <x:v>162.5</x:v>
      </x:c>
      <x:c r="L30" s="31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17"/>
      <x:c r="X30" s="36" t="str">
        <x:v>Cap at RPE 8 / 2+ RIR.</x:v>
      </x:c>
      <x:c r="Y30" s="35"/>
    </x:row>
    <x:row r="31">
      <x:c r="A31" s="28" t="n">
        <x:v>1</x:v>
      </x:c>
      <x:c r="B31" s="28" t="n">
        <x:v>1</x:v>
      </x:c>
      <x:c r="C31" s="30"/>
      <x:c r="D31" s="16" t="str">
        <x:v>Fri</x:v>
      </x:c>
      <x:c r="E31" s="16" t="str">
        <x:v>Deadlift</x:v>
      </x:c>
      <x:c r="F31" s="16" t="str">
        <x:v>FSL</x:v>
      </x:c>
      <x:c r="G31" s="16" t="str">
        <x:v>First set last</x:v>
      </x:c>
      <x:c r="H31" s="16" t="str">
        <x:v>Deadlift</x:v>
      </x:c>
      <x:c r="I31" s="16" t="str">
        <x:v>5</x:v>
      </x:c>
      <x:c r="J31" s="19" t="n">
        <x:v>4</x:v>
      </x:c>
      <x:c r="K31" s="19" t="n">
        <x:f>ROUND(INDEX(Setup!$G$11:$G$13,MATCH(E31,Setup!$A$11:$A$13,0))*0.65/Setup!$B$4,0)*Setup!$B$4</x:f>
        <x:v>122.5</x:v>
      </x:c>
      <x:c r="L31" s="31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17"/>
      <x:c r="X31" s="36" t="str">
        <x:v>Same weight each set; cut volume if bar speed slows.</x:v>
      </x:c>
      <x:c r="Y31" s="35"/>
    </x:row>
    <x:row r="32">
      <x:c r="A32" s="29" t="n">
        <x:v>1</x:v>
      </x:c>
      <x:c r="B32" s="29" t="n">
        <x:v>1</x:v>
      </x:c>
      <x:c r="C32" s="30"/>
      <x:c r="D32" s="27" t="str">
        <x:v>Fri</x:v>
      </x:c>
      <x:c r="E32" s="27" t="str">
        <x:v>Deadlift</x:v>
      </x:c>
      <x:c r="F32" s="27" t="str">
        <x:v>Accessory</x:v>
      </x:c>
      <x:c r="G32" s="27" t="str">
        <x:v>Posterior chain</x:v>
      </x:c>
      <x:c r="H32" s="27" t="str">
        <x:f>Accessory_Config!$C$20</x:f>
        <x:v>Romanian deadlift</x:v>
      </x:c>
      <x:c r="I32" s="27" t="str">
        <x:f>Accessory_Config!$E$20&amp;"-"&amp;Accessory_Config!$F$20</x:f>
        <x:v>8-10</x:v>
      </x:c>
      <x:c r="J32" s="32" t="n">
        <x:f>Accessory_Config!$D$20</x:f>
        <x:v>3</x:v>
      </x:c>
      <x:c r="K32" s="32"/>
      <x:c r="L32" s="31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17"/>
      <x:c r="X32" s="36" t="str">
        <x:v>Back extension; Hip thrust</x:v>
      </x:c>
      <x:c r="Y32" s="35" t="str">
        <x:f>IF(L32="","",IF(AND(COUNT(M32,O32,Q32,S32,U32)&gt;=J32,MIN(M32,O32,Q32,IF(J32&gt;=4,S32,999),IF(J32&gt;=5,U32,999))&gt;=Accessory_Config!$F$20,MIN(N32,P32,R32,IF(J32&gt;=4,T32,999),IF(J32&gt;=5,V32,999))&gt;=2),L32+Accessory_Config!$H$20,L32))</x:f>
      </x:c>
    </x:row>
    <x:row r="33">
      <x:c r="A33" s="29" t="n">
        <x:v>1</x:v>
      </x:c>
      <x:c r="B33" s="29" t="n">
        <x:v>1</x:v>
      </x:c>
      <x:c r="C33" s="30"/>
      <x:c r="D33" s="27" t="str">
        <x:v>Fri</x:v>
      </x:c>
      <x:c r="E33" s="27" t="str">
        <x:v>Deadlift</x:v>
      </x:c>
      <x:c r="F33" s="27" t="str">
        <x:v>Accessory</x:v>
      </x:c>
      <x:c r="G33" s="27" t="str">
        <x:v>Back extension</x:v>
      </x:c>
      <x:c r="H33" s="27" t="str">
        <x:f>Accessory_Config!$C$21</x:f>
        <x:v>45 degree back extension</x:v>
      </x:c>
      <x:c r="I33" s="27" t="str">
        <x:f>Accessory_Config!$E$21&amp;"-"&amp;Accessory_Config!$F$21</x:f>
        <x:v>12-15</x:v>
      </x:c>
      <x:c r="J33" s="32" t="n">
        <x:f>Accessory_Config!$D$21</x:f>
        <x:v>3</x:v>
      </x:c>
      <x:c r="K33" s="32"/>
      <x:c r="L33" s="31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17"/>
      <x:c r="X33" s="36" t="str">
        <x:v>Hip thrust</x:v>
      </x:c>
      <x:c r="Y33" s="35" t="str">
        <x:f>IF(L33="","",IF(AND(COUNT(M33,O33,Q33,S33,U33)&gt;=J33,MIN(M33,O33,Q33,IF(J33&gt;=4,S33,999),IF(J33&gt;=5,U33,999))&gt;=Accessory_Config!$F$21,MIN(N33,P33,R33,IF(J33&gt;=4,T33,999),IF(J33&gt;=5,V33,999))&gt;=2),L33+Accessory_Config!$H$21,L33))</x:f>
      </x:c>
    </x:row>
    <x:row r="34">
      <x:c r="A34" s="29" t="n">
        <x:v>1</x:v>
      </x:c>
      <x:c r="B34" s="29" t="n">
        <x:v>1</x:v>
      </x:c>
      <x:c r="C34" s="30"/>
      <x:c r="D34" s="27" t="str">
        <x:v>Fri</x:v>
      </x:c>
      <x:c r="E34" s="27" t="str">
        <x:v>Deadlift</x:v>
      </x:c>
      <x:c r="F34" s="27" t="str">
        <x:v>Accessory</x:v>
      </x:c>
      <x:c r="G34" s="27" t="str">
        <x:v>Row</x:v>
      </x:c>
      <x:c r="H34" s="27" t="str">
        <x:f>Accessory_Config!$C$22</x:f>
        <x:v>DB row</x:v>
      </x:c>
      <x:c r="I34" s="27" t="str">
        <x:f>Accessory_Config!$E$22&amp;"-"&amp;Accessory_Config!$F$22</x:f>
        <x:v>10-10</x:v>
      </x:c>
      <x:c r="J34" s="32" t="n">
        <x:f>Accessory_Config!$D$22</x:f>
        <x:v>3</x:v>
      </x:c>
      <x:c r="K34" s="32"/>
      <x:c r="L34" s="31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17"/>
      <x:c r="X34" s="36" t="str">
        <x:v>Chest-supported row; Seal row</x:v>
      </x:c>
      <x:c r="Y34" s="35" t="str">
        <x:f>IF(L34="","",IF(AND(COUNT(M34,O34,Q34,S34,U34)&gt;=J34,MIN(M34,O34,Q34,IF(J34&gt;=4,S34,999),IF(J34&gt;=5,U34,999))&gt;=Accessory_Config!$F$22,MIN(N34,P34,R34,IF(J34&gt;=4,T34,999),IF(J34&gt;=5,V34,999))&gt;=2),L34+Accessory_Config!$H$22,L34))</x:f>
      </x:c>
    </x:row>
    <x:row r="35">
      <x:c r="A35" s="29" t="n">
        <x:v>1</x:v>
      </x:c>
      <x:c r="B35" s="29" t="n">
        <x:v>1</x:v>
      </x:c>
      <x:c r="C35" s="30"/>
      <x:c r="D35" s="27" t="str">
        <x:v>Fri</x:v>
      </x:c>
      <x:c r="E35" s="27" t="str">
        <x:v>Deadlift</x:v>
      </x:c>
      <x:c r="F35" s="27" t="str">
        <x:v>Accessory</x:v>
      </x:c>
      <x:c r="G35" s="27" t="str">
        <x:v>Core</x:v>
      </x:c>
      <x:c r="H35" s="27" t="str">
        <x:f>Accessory_Config!$C$23</x:f>
        <x:v>Cable crunch</x:v>
      </x:c>
      <x:c r="I35" s="27" t="str">
        <x:f>Accessory_Config!$E$23&amp;"-"&amp;Accessory_Config!$F$23</x:f>
        <x:v>10-15</x:v>
      </x:c>
      <x:c r="J35" s="32" t="n">
        <x:f>Accessory_Config!$D$23</x:f>
        <x:v>3</x:v>
      </x:c>
      <x:c r="K35" s="32"/>
      <x:c r="L35" s="31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17"/>
      <x:c r="X35" s="36" t="str">
        <x:v>Plank; Ab wheel</x:v>
      </x:c>
      <x:c r="Y35" s="35" t="str">
        <x:f>IF(L35="","",IF(AND(COUNT(M35,O35,Q35,S35,U35)&gt;=J35,MIN(M35,O35,Q35,IF(J35&gt;=4,S35,999),IF(J35&gt;=5,U35,999))&gt;=Accessory_Config!$F$23,MIN(N35,P35,R35,IF(J35&gt;=4,T35,999),IF(J35&gt;=5,V35,999))&gt;=2),L35+Accessory_Config!$H$23,L35))</x:f>
      </x:c>
    </x:row>
    <x:row r="36">
      <x:c r="A36" s="28" t="n">
        <x:v>1</x:v>
      </x:c>
      <x:c r="B36" s="28" t="n">
        <x:v>2</x:v>
      </x:c>
      <x:c r="C36" s="30"/>
      <x:c r="D36" s="16" t="str">
        <x:v>Mon</x:v>
      </x:c>
      <x:c r="E36" s="16" t="str">
        <x:v>Squat</x:v>
      </x:c>
      <x:c r="F36" s="16" t="str">
        <x:v>Main</x:v>
      </x:c>
      <x:c r="G36" s="16" t="str">
        <x:v>Set 1</x:v>
      </x:c>
      <x:c r="H36" s="16" t="str">
        <x:v>Squat</x:v>
      </x:c>
      <x:c r="I36" s="16" t="str">
        <x:v>3</x:v>
      </x:c>
      <x:c r="J36" s="19" t="n">
        <x:v>1</x:v>
      </x:c>
      <x:c r="K36" s="19" t="n">
        <x:f>ROUND(INDEX(Setup!$G$11:$G$13,MATCH(E36,Setup!$A$11:$A$13,0))*0.7/Setup!$B$4,0)*Setup!$B$4</x:f>
        <x:v>72.5</x:v>
      </x:c>
      <x:c r="L36" s="31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17"/>
      <x:c r="X36" s="36" t="str"/>
      <x:c r="Y36" s="35"/>
    </x:row>
    <x:row r="37">
      <x:c r="A37" s="28" t="n">
        <x:v>1</x:v>
      </x:c>
      <x:c r="B37" s="28" t="n">
        <x:v>2</x:v>
      </x:c>
      <x:c r="C37" s="30"/>
      <x:c r="D37" s="16" t="str">
        <x:v>Mon</x:v>
      </x:c>
      <x:c r="E37" s="16" t="str">
        <x:v>Squat</x:v>
      </x:c>
      <x:c r="F37" s="16" t="str">
        <x:v>Main</x:v>
      </x:c>
      <x:c r="G37" s="16" t="str">
        <x:v>Set 2</x:v>
      </x:c>
      <x:c r="H37" s="16" t="str">
        <x:v>Squat</x:v>
      </x:c>
      <x:c r="I37" s="16" t="str">
        <x:v>3</x:v>
      </x:c>
      <x:c r="J37" s="19" t="n">
        <x:v>1</x:v>
      </x:c>
      <x:c r="K37" s="19" t="n">
        <x:f>ROUND(INDEX(Setup!$G$11:$G$13,MATCH(E37,Setup!$A$11:$A$13,0))*0.8/Setup!$B$4,0)*Setup!$B$4</x:f>
        <x:v>82.5</x:v>
      </x:c>
      <x:c r="L37" s="31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17"/>
      <x:c r="X37" s="36" t="str"/>
      <x:c r="Y37" s="35"/>
    </x:row>
    <x:row r="38">
      <x:c r="A38" s="28" t="n">
        <x:v>1</x:v>
      </x:c>
      <x:c r="B38" s="28" t="n">
        <x:v>2</x:v>
      </x:c>
      <x:c r="C38" s="30"/>
      <x:c r="D38" s="16" t="str">
        <x:v>Mon</x:v>
      </x:c>
      <x:c r="E38" s="16" t="str">
        <x:v>Squat</x:v>
      </x:c>
      <x:c r="F38" s="16" t="str">
        <x:v>Main</x:v>
      </x:c>
      <x:c r="G38" s="16" t="str">
        <x:v>Top set</x:v>
      </x:c>
      <x:c r="H38" s="16" t="str">
        <x:v>Squat</x:v>
      </x:c>
      <x:c r="I38" s="16" t="str">
        <x:v>3+</x:v>
      </x:c>
      <x:c r="J38" s="19" t="n">
        <x:v>1</x:v>
      </x:c>
      <x:c r="K38" s="19" t="n">
        <x:f>ROUND(INDEX(Setup!$G$11:$G$13,MATCH(E38,Setup!$A$11:$A$13,0))*0.9/Setup!$B$4,0)*Setup!$B$4</x:f>
        <x:v>92.5</x:v>
      </x:c>
      <x:c r="L38" s="31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17"/>
      <x:c r="X38" s="36" t="str">
        <x:v>Cap at RPE 8 / 2+ RIR.</x:v>
      </x:c>
      <x:c r="Y38" s="35"/>
    </x:row>
    <x:row r="39">
      <x:c r="A39" s="28" t="n">
        <x:v>1</x:v>
      </x:c>
      <x:c r="B39" s="28" t="n">
        <x:v>2</x:v>
      </x:c>
      <x:c r="C39" s="30"/>
      <x:c r="D39" s="16" t="str">
        <x:v>Mon</x:v>
      </x:c>
      <x:c r="E39" s="16" t="str">
        <x:v>Squat</x:v>
      </x:c>
      <x:c r="F39" s="16" t="str">
        <x:v>FSL</x:v>
      </x:c>
      <x:c r="G39" s="16" t="str">
        <x:v>First set last</x:v>
      </x:c>
      <x:c r="H39" s="16" t="str">
        <x:v>Squat</x:v>
      </x:c>
      <x:c r="I39" s="16" t="str">
        <x:v>5</x:v>
      </x:c>
      <x:c r="J39" s="19" t="n">
        <x:v>5</x:v>
      </x:c>
      <x:c r="K39" s="19" t="n">
        <x:f>ROUND(INDEX(Setup!$G$11:$G$13,MATCH(E39,Setup!$A$11:$A$13,0))*0.65/Setup!$B$4,0)*Setup!$B$4</x:f>
        <x:v>67.5</x:v>
      </x:c>
      <x:c r="L39" s="31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17"/>
      <x:c r="X39" s="36" t="str">
        <x:v>Same weight each set; cut volume if bar speed slows.</x:v>
      </x:c>
      <x:c r="Y39" s="35"/>
    </x:row>
    <x:row r="40">
      <x:c r="A40" s="29" t="n">
        <x:v>1</x:v>
      </x:c>
      <x:c r="B40" s="29" t="n">
        <x:v>2</x:v>
      </x:c>
      <x:c r="C40" s="30"/>
      <x:c r="D40" s="27" t="str">
        <x:v>Mon</x:v>
      </x:c>
      <x:c r="E40" s="27" t="str">
        <x:v>Squat</x:v>
      </x:c>
      <x:c r="F40" s="27" t="str">
        <x:v>Accessory</x:v>
      </x:c>
      <x:c r="G40" s="27" t="str">
        <x:v>Quad volume</x:v>
      </x:c>
      <x:c r="H40" s="27" t="str">
        <x:f>Accessory_Config!$C$6</x:f>
        <x:v>Leg press</x:v>
      </x:c>
      <x:c r="I40" s="27" t="str">
        <x:f>Accessory_Config!$E$6&amp;"-"&amp;Accessory_Config!$F$6</x:f>
        <x:v>10-12</x:v>
      </x:c>
      <x:c r="J40" s="32" t="n">
        <x:f>Accessory_Config!$D$6</x:f>
        <x:v>3</x:v>
      </x:c>
      <x:c r="K40" s="32"/>
      <x:c r="L40" s="31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17"/>
      <x:c r="X40" s="36" t="str">
        <x:v>Bulgarian split squat; Hack squat</x:v>
      </x:c>
      <x:c r="Y40" s="35" t="str">
        <x:f>IF(L40="","",IF(AND(COUNT(M40,O40,Q40,S40,U40)&gt;=J40,MIN(M40,O40,Q40,IF(J40&gt;=4,S40,999),IF(J40&gt;=5,U40,999))&gt;=Accessory_Config!$F$6,MIN(N40,P40,R40,IF(J40&gt;=4,T40,999),IF(J40&gt;=5,V40,999))&gt;=2),L40+Accessory_Config!$H$6,L40))</x:f>
      </x:c>
    </x:row>
    <x:row r="41">
      <x:c r="A41" s="29" t="n">
        <x:v>1</x:v>
      </x:c>
      <x:c r="B41" s="29" t="n">
        <x:v>2</x:v>
      </x:c>
      <x:c r="C41" s="30"/>
      <x:c r="D41" s="27" t="str">
        <x:v>Mon</x:v>
      </x:c>
      <x:c r="E41" s="27" t="str">
        <x:v>Squat</x:v>
      </x:c>
      <x:c r="F41" s="27" t="str">
        <x:v>Accessory</x:v>
      </x:c>
      <x:c r="G41" s="27" t="str">
        <x:v>Hamstring support</x:v>
      </x:c>
      <x:c r="H41" s="27" t="str">
        <x:f>Accessory_Config!$C$7</x:f>
        <x:v>Lying / seated leg curl</x:v>
      </x:c>
      <x:c r="I41" s="27" t="str">
        <x:f>Accessory_Config!$E$7&amp;"-"&amp;Accessory_Config!$F$7</x:f>
        <x:v>12-15</x:v>
      </x:c>
      <x:c r="J41" s="32" t="n">
        <x:f>Accessory_Config!$D$7</x:f>
        <x:v>3</x:v>
      </x:c>
      <x:c r="K41" s="32"/>
      <x:c r="L41" s="31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17"/>
      <x:c r="X41" s="36" t="str">
        <x:v>Assisted Nordic curl</x:v>
      </x:c>
      <x:c r="Y41" s="35" t="str">
        <x:f>IF(L41="","",IF(AND(COUNT(M41,O41,Q41,S41,U41)&gt;=J41,MIN(M41,O41,Q41,IF(J41&gt;=4,S41,999),IF(J41&gt;=5,U41,999))&gt;=Accessory_Config!$F$7,MIN(N41,P41,R41,IF(J41&gt;=4,T41,999),IF(J41&gt;=5,V41,999))&gt;=2),L41+Accessory_Config!$H$7,L41))</x:f>
      </x:c>
    </x:row>
    <x:row r="42">
      <x:c r="A42" s="29" t="n">
        <x:v>1</x:v>
      </x:c>
      <x:c r="B42" s="29" t="n">
        <x:v>2</x:v>
      </x:c>
      <x:c r="C42" s="30"/>
      <x:c r="D42" s="27" t="str">
        <x:v>Mon</x:v>
      </x:c>
      <x:c r="E42" s="27" t="str">
        <x:v>Squat</x:v>
      </x:c>
      <x:c r="F42" s="27" t="str">
        <x:v>Accessory</x:v>
      </x:c>
      <x:c r="G42" s="27" t="str">
        <x:v>Pressing support</x:v>
      </x:c>
      <x:c r="H42" s="27" t="str">
        <x:f>Accessory_Config!$C$8</x:f>
        <x:v>Triceps pushdown</x:v>
      </x:c>
      <x:c r="I42" s="27" t="str">
        <x:f>Accessory_Config!$E$8&amp;"-"&amp;Accessory_Config!$F$8</x:f>
        <x:v>12-15</x:v>
      </x:c>
      <x:c r="J42" s="32" t="n">
        <x:f>Accessory_Config!$D$8</x:f>
        <x:v>3</x:v>
      </x:c>
      <x:c r="K42" s="32"/>
      <x:c r="L42" s="31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17"/>
      <x:c r="X42" s="36" t="str">
        <x:v>Rope overhead extension if shoulder calm</x:v>
      </x:c>
      <x:c r="Y42" s="35" t="str">
        <x:f>IF(L42="","",IF(AND(COUNT(M42,O42,Q42,S42,U42)&gt;=J42,MIN(M42,O42,Q42,IF(J42&gt;=4,S42,999),IF(J42&gt;=5,U42,999))&gt;=Accessory_Config!$F$8,MIN(N42,P42,R42,IF(J42&gt;=4,T42,999),IF(J42&gt;=5,V42,999))&gt;=2),L42+Accessory_Config!$H$8,L42))</x:f>
      </x:c>
    </x:row>
    <x:row r="43">
      <x:c r="A43" s="29" t="n">
        <x:v>1</x:v>
      </x:c>
      <x:c r="B43" s="29" t="n">
        <x:v>2</x:v>
      </x:c>
      <x:c r="C43" s="30"/>
      <x:c r="D43" s="27" t="str">
        <x:v>Mon</x:v>
      </x:c>
      <x:c r="E43" s="27" t="str">
        <x:v>Squat</x:v>
      </x:c>
      <x:c r="F43" s="27" t="str">
        <x:v>Accessory</x:v>
      </x:c>
      <x:c r="G43" s="27" t="str">
        <x:v>Core</x:v>
      </x:c>
      <x:c r="H43" s="27" t="str">
        <x:f>Accessory_Config!$C$9</x:f>
        <x:v>Hanging leg raise</x:v>
      </x:c>
      <x:c r="I43" s="27" t="str">
        <x:f>Accessory_Config!$E$9&amp;"-"&amp;Accessory_Config!$F$9</x:f>
        <x:v>10-15</x:v>
      </x:c>
      <x:c r="J43" s="32" t="n">
        <x:f>Accessory_Config!$D$9</x:f>
        <x:v>3</x:v>
      </x:c>
      <x:c r="K43" s="32"/>
      <x:c r="L43" s="31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17"/>
      <x:c r="X43" s="36" t="str">
        <x:v>Ab wheel; Plank</x:v>
      </x:c>
      <x:c r="Y43" s="35" t="str">
        <x:f>IF(L43="","",IF(AND(COUNT(M43,O43,Q43,S43,U43)&gt;=J43,MIN(M43,O43,Q43,IF(J43&gt;=4,S43,999),IF(J43&gt;=5,U43,999))&gt;=Accessory_Config!$F$9,MIN(N43,P43,R43,IF(J43&gt;=4,T43,999),IF(J43&gt;=5,V43,999))&gt;=2),L43+Accessory_Config!$H$9,L43))</x:f>
      </x:c>
    </x:row>
    <x:row r="44">
      <x:c r="A44" s="28" t="n">
        <x:v>1</x:v>
      </x:c>
      <x:c r="B44" s="28" t="n">
        <x:v>2</x:v>
      </x:c>
      <x:c r="C44" s="30"/>
      <x:c r="D44" s="16" t="str">
        <x:v>Wed</x:v>
      </x:c>
      <x:c r="E44" s="16" t="str">
        <x:v>Bench</x:v>
      </x:c>
      <x:c r="F44" s="16" t="str">
        <x:v>Main</x:v>
      </x:c>
      <x:c r="G44" s="16" t="str">
        <x:v>Set 1</x:v>
      </x:c>
      <x:c r="H44" s="16" t="str">
        <x:v>Bench</x:v>
      </x:c>
      <x:c r="I44" s="16" t="str">
        <x:v>3</x:v>
      </x:c>
      <x:c r="J44" s="19" t="n">
        <x:v>1</x:v>
      </x:c>
      <x:c r="K44" s="19" t="n">
        <x:f>ROUND(INDEX(Setup!$G$11:$G$13,MATCH(E44,Setup!$A$11:$A$13,0))*0.7/Setup!$B$4,0)*Setup!$B$4</x:f>
        <x:v>60</x:v>
      </x:c>
      <x:c r="L44" s="31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17"/>
      <x:c r="X44" s="36" t="str"/>
      <x:c r="Y44" s="35"/>
    </x:row>
    <x:row r="45">
      <x:c r="A45" s="28" t="n">
        <x:v>1</x:v>
      </x:c>
      <x:c r="B45" s="28" t="n">
        <x:v>2</x:v>
      </x:c>
      <x:c r="C45" s="30"/>
      <x:c r="D45" s="16" t="str">
        <x:v>Wed</x:v>
      </x:c>
      <x:c r="E45" s="16" t="str">
        <x:v>Bench</x:v>
      </x:c>
      <x:c r="F45" s="16" t="str">
        <x:v>Main</x:v>
      </x:c>
      <x:c r="G45" s="16" t="str">
        <x:v>Set 2</x:v>
      </x:c>
      <x:c r="H45" s="16" t="str">
        <x:v>Bench</x:v>
      </x:c>
      <x:c r="I45" s="16" t="str">
        <x:v>3</x:v>
      </x:c>
      <x:c r="J45" s="19" t="n">
        <x:v>1</x:v>
      </x:c>
      <x:c r="K45" s="19" t="n">
        <x:f>ROUND(INDEX(Setup!$G$11:$G$13,MATCH(E45,Setup!$A$11:$A$13,0))*0.8/Setup!$B$4,0)*Setup!$B$4</x:f>
        <x:v>67.5</x:v>
      </x:c>
      <x:c r="L45" s="31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17"/>
      <x:c r="X45" s="36" t="str"/>
      <x:c r="Y45" s="35"/>
    </x:row>
    <x:row r="46">
      <x:c r="A46" s="28" t="n">
        <x:v>1</x:v>
      </x:c>
      <x:c r="B46" s="28" t="n">
        <x:v>2</x:v>
      </x:c>
      <x:c r="C46" s="30"/>
      <x:c r="D46" s="16" t="str">
        <x:v>Wed</x:v>
      </x:c>
      <x:c r="E46" s="16" t="str">
        <x:v>Bench</x:v>
      </x:c>
      <x:c r="F46" s="16" t="str">
        <x:v>Main</x:v>
      </x:c>
      <x:c r="G46" s="16" t="str">
        <x:v>Top set</x:v>
      </x:c>
      <x:c r="H46" s="16" t="str">
        <x:v>Bench</x:v>
      </x:c>
      <x:c r="I46" s="16" t="str">
        <x:v>3</x:v>
      </x:c>
      <x:c r="J46" s="19" t="n">
        <x:v>1</x:v>
      </x:c>
      <x:c r="K46" s="19" t="n">
        <x:f>ROUND(INDEX(Setup!$G$11:$G$13,MATCH(E46,Setup!$A$11:$A$13,0))*0.9/Setup!$B$4,0)*Setup!$B$4</x:f>
        <x:v>77.5</x:v>
      </x:c>
      <x:c r="L46" s="31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17"/>
      <x:c r="X46" s="36" t="str">
        <x:v>No AMRAP; stop with shoulder calm.</x:v>
      </x:c>
      <x:c r="Y46" s="35"/>
    </x:row>
    <x:row r="47">
      <x:c r="A47" s="28" t="n">
        <x:v>1</x:v>
      </x:c>
      <x:c r="B47" s="28" t="n">
        <x:v>2</x:v>
      </x:c>
      <x:c r="C47" s="30"/>
      <x:c r="D47" s="16" t="str">
        <x:v>Wed</x:v>
      </x:c>
      <x:c r="E47" s="16" t="str">
        <x:v>Bench</x:v>
      </x:c>
      <x:c r="F47" s="16" t="str">
        <x:v>FSL</x:v>
      </x:c>
      <x:c r="G47" s="16" t="str">
        <x:v>First set last</x:v>
      </x:c>
      <x:c r="H47" s="16" t="str">
        <x:v>Bench</x:v>
      </x:c>
      <x:c r="I47" s="16" t="str">
        <x:v>5</x:v>
      </x:c>
      <x:c r="J47" s="19" t="n">
        <x:v>5</x:v>
      </x:c>
      <x:c r="K47" s="19" t="n">
        <x:f>ROUND(INDEX(Setup!$G$11:$G$13,MATCH(E47,Setup!$A$11:$A$13,0))*0.65/Setup!$B$4,0)*Setup!$B$4</x:f>
        <x:v>55</x:v>
      </x:c>
      <x:c r="L47" s="31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17"/>
      <x:c r="X47" s="36" t="str">
        <x:v>Same weight each set; cut volume if bar speed slows.</x:v>
      </x:c>
      <x:c r="Y47" s="35"/>
    </x:row>
    <x:row r="48">
      <x:c r="A48" s="29" t="n">
        <x:v>1</x:v>
      </x:c>
      <x:c r="B48" s="29" t="n">
        <x:v>2</x:v>
      </x:c>
      <x:c r="C48" s="30"/>
      <x:c r="D48" s="27" t="str">
        <x:v>Wed</x:v>
      </x:c>
      <x:c r="E48" s="27" t="str">
        <x:v>Bench</x:v>
      </x:c>
      <x:c r="F48" s="27" t="str">
        <x:v>Accessory</x:v>
      </x:c>
      <x:c r="G48" s="27" t="str">
        <x:v>Heavy row</x:v>
      </x:c>
      <x:c r="H48" s="27" t="str">
        <x:f>Accessory_Config!$C$10</x:f>
        <x:v>Chest-supported row</x:v>
      </x:c>
      <x:c r="I48" s="27" t="str">
        <x:f>Accessory_Config!$E$10&amp;"-"&amp;Accessory_Config!$F$10</x:f>
        <x:v>8-12</x:v>
      </x:c>
      <x:c r="J48" s="32" t="n">
        <x:f>Accessory_Config!$D$10</x:f>
        <x:v>4</x:v>
      </x:c>
      <x:c r="K48" s="32"/>
      <x:c r="L48" s="31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17"/>
      <x:c r="X48" s="36" t="str">
        <x:v>Seal row; DB row</x:v>
      </x:c>
      <x:c r="Y48" s="35" t="str">
        <x:f>IF(L48="","",IF(AND(COUNT(M48,O48,Q48,S48,U48)&gt;=J48,MIN(M48,O48,Q48,IF(J48&gt;=4,S48,999),IF(J48&gt;=5,U48,999))&gt;=Accessory_Config!$F$10,MIN(N48,P48,R48,IF(J48&gt;=4,T48,999),IF(J48&gt;=5,V48,999))&gt;=2),L48+Accessory_Config!$H$10,L48))</x:f>
      </x:c>
    </x:row>
    <x:row r="49">
      <x:c r="A49" s="29" t="n">
        <x:v>1</x:v>
      </x:c>
      <x:c r="B49" s="29" t="n">
        <x:v>2</x:v>
      </x:c>
      <x:c r="C49" s="30"/>
      <x:c r="D49" s="27" t="str">
        <x:v>Wed</x:v>
      </x:c>
      <x:c r="E49" s="27" t="str">
        <x:v>Bench</x:v>
      </x:c>
      <x:c r="F49" s="27" t="str">
        <x:v>Accessory</x:v>
      </x:c>
      <x:c r="G49" s="27" t="str">
        <x:v>Vertical pull</x:v>
      </x:c>
      <x:c r="H49" s="27" t="str">
        <x:f>Accessory_Config!$C$11</x:f>
        <x:v>Neutral-grip lat pulldown</x:v>
      </x:c>
      <x:c r="I49" s="27" t="str">
        <x:f>Accessory_Config!$E$11&amp;"-"&amp;Accessory_Config!$F$11</x:f>
        <x:v>10-12</x:v>
      </x:c>
      <x:c r="J49" s="32" t="n">
        <x:f>Accessory_Config!$D$11</x:f>
        <x:v>3</x:v>
      </x:c>
      <x:c r="K49" s="32"/>
      <x:c r="L49" s="31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17"/>
      <x:c r="X49" s="36" t="str">
        <x:v>Assisted pull-up</x:v>
      </x:c>
      <x:c r="Y49" s="35" t="str">
        <x:f>IF(L49="","",IF(AND(COUNT(M49,O49,Q49,S49,U49)&gt;=J49,MIN(M49,O49,Q49,IF(J49&gt;=4,S49,999),IF(J49&gt;=5,U49,999))&gt;=Accessory_Config!$F$11,MIN(N49,P49,R49,IF(J49&gt;=4,T49,999),IF(J49&gt;=5,V49,999))&gt;=2),L49+Accessory_Config!$H$11,L49))</x:f>
      </x:c>
    </x:row>
    <x:row r="50">
      <x:c r="A50" s="29" t="n">
        <x:v>1</x:v>
      </x:c>
      <x:c r="B50" s="29" t="n">
        <x:v>2</x:v>
      </x:c>
      <x:c r="C50" s="30"/>
      <x:c r="D50" s="27" t="str">
        <x:v>Wed</x:v>
      </x:c>
      <x:c r="E50" s="27" t="str">
        <x:v>Bench</x:v>
      </x:c>
      <x:c r="F50" s="27" t="str">
        <x:v>Accessory</x:v>
      </x:c>
      <x:c r="G50" s="27" t="str">
        <x:v>Optional press</x:v>
      </x:c>
      <x:c r="H50" s="27" t="str">
        <x:f>Accessory_Config!$C$12</x:f>
        <x:v>Incline DB press neutral grip</x:v>
      </x:c>
      <x:c r="I50" s="27" t="str">
        <x:f>Accessory_Config!$E$12&amp;"-"&amp;Accessory_Config!$F$12</x:f>
        <x:v>8-12</x:v>
      </x:c>
      <x:c r="J50" s="32" t="n">
        <x:f>Accessory_Config!$D$12</x:f>
        <x:v>3</x:v>
      </x:c>
      <x:c r="K50" s="32"/>
      <x:c r="L50" s="31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17"/>
      <x:c r="X50" s="36" t="str">
        <x:v>Only if pain-free; Machine press; Push-up handles</x:v>
      </x:c>
      <x:c r="Y50" s="35" t="str">
        <x:f>IF(L50="","",IF(AND(COUNT(M50,O50,Q50,S50,U50)&gt;=J50,MIN(M50,O50,Q50,IF(J50&gt;=4,S50,999),IF(J50&gt;=5,U50,999))&gt;=Accessory_Config!$F$12,MIN(N50,P50,R50,IF(J50&gt;=4,T50,999),IF(J50&gt;=5,V50,999))&gt;=2),L50+Accessory_Config!$H$12,L50))</x:f>
      </x:c>
    </x:row>
    <x:row r="51">
      <x:c r="A51" s="29" t="n">
        <x:v>1</x:v>
      </x:c>
      <x:c r="B51" s="29" t="n">
        <x:v>2</x:v>
      </x:c>
      <x:c r="C51" s="30"/>
      <x:c r="D51" s="27" t="str">
        <x:v>Wed</x:v>
      </x:c>
      <x:c r="E51" s="27" t="str">
        <x:v>Bench</x:v>
      </x:c>
      <x:c r="F51" s="27" t="str">
        <x:v>Accessory</x:v>
      </x:c>
      <x:c r="G51" s="27" t="str">
        <x:v>Arm balance</x:v>
      </x:c>
      <x:c r="H51" s="27" t="str">
        <x:f>Accessory_Config!$C$13</x:f>
        <x:v>DB hammer curl</x:v>
      </x:c>
      <x:c r="I51" s="27" t="str">
        <x:f>Accessory_Config!$E$13&amp;"-"&amp;Accessory_Config!$F$13</x:f>
        <x:v>12-12</x:v>
      </x:c>
      <x:c r="J51" s="32" t="n">
        <x:f>Accessory_Config!$D$13</x:f>
        <x:v>3</x:v>
      </x:c>
      <x:c r="K51" s="32"/>
      <x:c r="L51" s="31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17"/>
      <x:c r="X51" s="36" t="str">
        <x:v>Cable curl</x:v>
      </x:c>
      <x:c r="Y51" s="35" t="str">
        <x:f>IF(L51="","",IF(AND(COUNT(M51,O51,Q51,S51,U51)&gt;=J51,MIN(M51,O51,Q51,IF(J51&gt;=4,S51,999),IF(J51&gt;=5,U51,999))&gt;=Accessory_Config!$F$13,MIN(N51,P51,R51,IF(J51&gt;=4,T51,999),IF(J51&gt;=5,V51,999))&gt;=2),L51+Accessory_Config!$H$13,L51))</x:f>
      </x:c>
    </x:row>
    <x:row r="52">
      <x:c r="A52" s="29" t="n">
        <x:v>1</x:v>
      </x:c>
      <x:c r="B52" s="29" t="n">
        <x:v>2</x:v>
      </x:c>
      <x:c r="C52" s="30"/>
      <x:c r="D52" s="27" t="str">
        <x:v>Wed</x:v>
      </x:c>
      <x:c r="E52" s="27" t="str">
        <x:v>Bench</x:v>
      </x:c>
      <x:c r="F52" s="27" t="str">
        <x:v>Accessory</x:v>
      </x:c>
      <x:c r="G52" s="27" t="str">
        <x:v>Shoulder prehab</x:v>
      </x:c>
      <x:c r="H52" s="27" t="str">
        <x:f>Accessory_Config!$C$14</x:f>
        <x:v>Face pulls + band external rotation</x:v>
      </x:c>
      <x:c r="I52" s="27" t="str">
        <x:f>Accessory_Config!$E$14&amp;"-"&amp;Accessory_Config!$F$14</x:f>
        <x:v>15-20</x:v>
      </x:c>
      <x:c r="J52" s="32" t="n">
        <x:f>Accessory_Config!$D$14</x:f>
        <x:v>4</x:v>
      </x:c>
      <x:c r="K52" s="32"/>
      <x:c r="L52" s="31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17"/>
      <x:c r="X52" s="36" t="str">
        <x:v>Band pull-apart</x:v>
      </x:c>
      <x:c r="Y52" s="35" t="str">
        <x:f>IF(L52="","",IF(AND(COUNT(M52,O52,Q52,S52,U52)&gt;=J52,MIN(M52,O52,Q52,IF(J52&gt;=4,S52,999),IF(J52&gt;=5,U52,999))&gt;=Accessory_Config!$F$14,MIN(N52,P52,R52,IF(J52&gt;=4,T52,999),IF(J52&gt;=5,V52,999))&gt;=2),L52+Accessory_Config!$H$14,L52))</x:f>
      </x:c>
    </x:row>
    <x:row r="53">
      <x:c r="A53" s="29" t="n">
        <x:v>1</x:v>
      </x:c>
      <x:c r="B53" s="29" t="n">
        <x:v>2</x:v>
      </x:c>
      <x:c r="C53" s="30"/>
      <x:c r="D53" s="27" t="str">
        <x:v>Thu</x:v>
      </x:c>
      <x:c r="E53" s="27" t="str">
        <x:v>Assist</x:v>
      </x:c>
      <x:c r="F53" s="27" t="str">
        <x:v>Accessory</x:v>
      </x:c>
      <x:c r="G53" s="27" t="str">
        <x:v>Technique squat</x:v>
      </x:c>
      <x:c r="H53" s="27" t="str">
        <x:f>Accessory_Config!$C$15</x:f>
        <x:v>Paused squat technique</x:v>
      </x:c>
      <x:c r="I53" s="27" t="str">
        <x:f>Accessory_Config!$E$15&amp;"-"&amp;Accessory_Config!$F$15</x:f>
        <x:v>3-3</x:v>
      </x:c>
      <x:c r="J53" s="32" t="n">
        <x:f>Accessory_Config!$D$15</x:f>
        <x:v>3</x:v>
      </x:c>
      <x:c r="K53" s="32"/>
      <x:c r="L53" s="31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17"/>
      <x:c r="X53" s="36" t="str">
        <x:v>Light crisp triples only; no grinding</x:v>
      </x:c>
      <x:c r="Y53" s="35" t="str">
        <x:f>IF(L53="","",IF(AND(COUNT(M53,O53,Q53,S53,U53)&gt;=J53,MIN(M53,O53,Q53,IF(J53&gt;=4,S53,999),IF(J53&gt;=5,U53,999))&gt;=Accessory_Config!$F$15,MIN(N53,P53,R53,IF(J53&gt;=4,T53,999),IF(J53&gt;=5,V53,999))&gt;=2),L53+Accessory_Config!$H$15,L53))</x:f>
      </x:c>
    </x:row>
    <x:row r="54">
      <x:c r="A54" s="29" t="n">
        <x:v>1</x:v>
      </x:c>
      <x:c r="B54" s="29" t="n">
        <x:v>2</x:v>
      </x:c>
      <x:c r="C54" s="30"/>
      <x:c r="D54" s="27" t="str">
        <x:v>Thu</x:v>
      </x:c>
      <x:c r="E54" s="27" t="str">
        <x:v>Assist</x:v>
      </x:c>
      <x:c r="F54" s="27" t="str">
        <x:v>Accessory</x:v>
      </x:c>
      <x:c r="G54" s="27" t="str">
        <x:v>Upper back volume</x:v>
      </x:c>
      <x:c r="H54" s="27" t="str">
        <x:f>Accessory_Config!$C$16</x:f>
        <x:v>Chest-supported row</x:v>
      </x:c>
      <x:c r="I54" s="27" t="str">
        <x:f>Accessory_Config!$E$16&amp;"-"&amp;Accessory_Config!$F$16</x:f>
        <x:v>10-12</x:v>
      </x:c>
      <x:c r="J54" s="32" t="n">
        <x:f>Accessory_Config!$D$16</x:f>
        <x:v>4</x:v>
      </x:c>
      <x:c r="K54" s="32"/>
      <x:c r="L54" s="31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17"/>
      <x:c r="X54" s="36" t="str">
        <x:v>Seal row; DB row</x:v>
      </x:c>
      <x:c r="Y54" s="35" t="str">
        <x:f>IF(L54="","",IF(AND(COUNT(M54,O54,Q54,S54,U54)&gt;=J54,MIN(M54,O54,Q54,IF(J54&gt;=4,S54,999),IF(J54&gt;=5,U54,999))&gt;=Accessory_Config!$F$16,MIN(N54,P54,R54,IF(J54&gt;=4,T54,999),IF(J54&gt;=5,V54,999))&gt;=2),L54+Accessory_Config!$H$16,L54))</x:f>
      </x:c>
    </x:row>
    <x:row r="55">
      <x:c r="A55" s="29" t="n">
        <x:v>1</x:v>
      </x:c>
      <x:c r="B55" s="29" t="n">
        <x:v>2</x:v>
      </x:c>
      <x:c r="C55" s="30"/>
      <x:c r="D55" s="27" t="str">
        <x:v>Thu</x:v>
      </x:c>
      <x:c r="E55" s="27" t="str">
        <x:v>Assist</x:v>
      </x:c>
      <x:c r="F55" s="27" t="str">
        <x:v>Accessory</x:v>
      </x:c>
      <x:c r="G55" s="27" t="str">
        <x:v>Lat volume</x:v>
      </x:c>
      <x:c r="H55" s="27" t="str">
        <x:f>Accessory_Config!$C$17</x:f>
        <x:v>Neutral-grip lat pulldown</x:v>
      </x:c>
      <x:c r="I55" s="27" t="str">
        <x:f>Accessory_Config!$E$17&amp;"-"&amp;Accessory_Config!$F$17</x:f>
        <x:v>10-12</x:v>
      </x:c>
      <x:c r="J55" s="32" t="n">
        <x:f>Accessory_Config!$D$17</x:f>
        <x:v>3</x:v>
      </x:c>
      <x:c r="K55" s="32"/>
      <x:c r="L55" s="31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17"/>
      <x:c r="X55" s="36" t="str">
        <x:v>Assisted pull-up</x:v>
      </x:c>
      <x:c r="Y55" s="35" t="str">
        <x:f>IF(L55="","",IF(AND(COUNT(M55,O55,Q55,S55,U55)&gt;=J55,MIN(M55,O55,Q55,IF(J55&gt;=4,S55,999),IF(J55&gt;=5,U55,999))&gt;=Accessory_Config!$F$17,MIN(N55,P55,R55,IF(J55&gt;=4,T55,999),IF(J55&gt;=5,V55,999))&gt;=2),L55+Accessory_Config!$H$17,L55))</x:f>
      </x:c>
    </x:row>
    <x:row r="56">
      <x:c r="A56" s="29" t="n">
        <x:v>1</x:v>
      </x:c>
      <x:c r="B56" s="29" t="n">
        <x:v>2</x:v>
      </x:c>
      <x:c r="C56" s="30"/>
      <x:c r="D56" s="27" t="str">
        <x:v>Thu</x:v>
      </x:c>
      <x:c r="E56" s="27" t="str">
        <x:v>Assist</x:v>
      </x:c>
      <x:c r="F56" s="27" t="str">
        <x:v>Accessory</x:v>
      </x:c>
      <x:c r="G56" s="27" t="str">
        <x:v>Shoulder-safe press</x:v>
      </x:c>
      <x:c r="H56" s="27" t="str">
        <x:f>Accessory_Config!$C$18</x:f>
        <x:v>DB floor press</x:v>
      </x:c>
      <x:c r="I56" s="27" t="str">
        <x:f>Accessory_Config!$E$18&amp;"-"&amp;Accessory_Config!$F$18</x:f>
        <x:v>8-12</x:v>
      </x:c>
      <x:c r="J56" s="32" t="n">
        <x:f>Accessory_Config!$D$18</x:f>
        <x:v>3</x:v>
      </x:c>
      <x:c r="K56" s="32"/>
      <x:c r="L56" s="31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17"/>
      <x:c r="X56" s="36" t="str">
        <x:v>Optional if shoulder is calm; Push-up handles; Machine press</x:v>
      </x:c>
      <x:c r="Y56" s="35" t="str">
        <x:f>IF(L56="","",IF(AND(COUNT(M56,O56,Q56,S56,U56)&gt;=J56,MIN(M56,O56,Q56,IF(J56&gt;=4,S56,999),IF(J56&gt;=5,U56,999))&gt;=Accessory_Config!$F$18,MIN(N56,P56,R56,IF(J56&gt;=4,T56,999),IF(J56&gt;=5,V56,999))&gt;=2),L56+Accessory_Config!$H$18,L56))</x:f>
      </x:c>
    </x:row>
    <x:row r="57">
      <x:c r="A57" s="29" t="n">
        <x:v>1</x:v>
      </x:c>
      <x:c r="B57" s="29" t="n">
        <x:v>2</x:v>
      </x:c>
      <x:c r="C57" s="30"/>
      <x:c r="D57" s="27" t="str">
        <x:v>Thu</x:v>
      </x:c>
      <x:c r="E57" s="27" t="str">
        <x:v>Assist</x:v>
      </x:c>
      <x:c r="F57" s="27" t="str">
        <x:v>Accessory</x:v>
      </x:c>
      <x:c r="G57" s="27" t="str">
        <x:v>Prehab + core</x:v>
      </x:c>
      <x:c r="H57" s="27" t="str">
        <x:f>Accessory_Config!$C$19</x:f>
        <x:v>Face pulls + band external rotation</x:v>
      </x:c>
      <x:c r="I57" s="27" t="str">
        <x:f>Accessory_Config!$E$19&amp;"-"&amp;Accessory_Config!$F$19</x:f>
        <x:v>15-20</x:v>
      </x:c>
      <x:c r="J57" s="32" t="n">
        <x:f>Accessory_Config!$D$19</x:f>
        <x:v>3</x:v>
      </x:c>
      <x:c r="K57" s="32"/>
      <x:c r="L57" s="31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17"/>
      <x:c r="X57" s="36" t="str">
        <x:v>Band pull-apart; Plank</x:v>
      </x:c>
      <x:c r="Y57" s="35" t="str">
        <x:f>IF(L57="","",IF(AND(COUNT(M57,O57,Q57,S57,U57)&gt;=J57,MIN(M57,O57,Q57,IF(J57&gt;=4,S57,999),IF(J57&gt;=5,U57,999))&gt;=Accessory_Config!$F$19,MIN(N57,P57,R57,IF(J57&gt;=4,T57,999),IF(J57&gt;=5,V57,999))&gt;=2),L57+Accessory_Config!$H$19,L57))</x:f>
      </x:c>
    </x:row>
    <x:row r="58">
      <x:c r="A58" s="28" t="n">
        <x:v>1</x:v>
      </x:c>
      <x:c r="B58" s="28" t="n">
        <x:v>2</x:v>
      </x:c>
      <x:c r="C58" s="30"/>
      <x:c r="D58" s="16" t="str">
        <x:v>Fri</x:v>
      </x:c>
      <x:c r="E58" s="16" t="str">
        <x:v>Deadlift</x:v>
      </x:c>
      <x:c r="F58" s="16" t="str">
        <x:v>Main</x:v>
      </x:c>
      <x:c r="G58" s="16" t="str">
        <x:v>Set 1</x:v>
      </x:c>
      <x:c r="H58" s="16" t="str">
        <x:v>Deadlift</x:v>
      </x:c>
      <x:c r="I58" s="16" t="str">
        <x:v>3</x:v>
      </x:c>
      <x:c r="J58" s="19" t="n">
        <x:v>1</x:v>
      </x:c>
      <x:c r="K58" s="19" t="n">
        <x:f>ROUND(INDEX(Setup!$G$11:$G$13,MATCH(E58,Setup!$A$11:$A$13,0))*0.7/Setup!$B$4,0)*Setup!$B$4</x:f>
        <x:v>132.5</x:v>
      </x:c>
      <x:c r="L58" s="31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17"/>
      <x:c r="X58" s="36" t="str"/>
      <x:c r="Y58" s="35"/>
    </x:row>
    <x:row r="59">
      <x:c r="A59" s="28" t="n">
        <x:v>1</x:v>
      </x:c>
      <x:c r="B59" s="28" t="n">
        <x:v>2</x:v>
      </x:c>
      <x:c r="C59" s="30"/>
      <x:c r="D59" s="16" t="str">
        <x:v>Fri</x:v>
      </x:c>
      <x:c r="E59" s="16" t="str">
        <x:v>Deadlift</x:v>
      </x:c>
      <x:c r="F59" s="16" t="str">
        <x:v>Main</x:v>
      </x:c>
      <x:c r="G59" s="16" t="str">
        <x:v>Set 2</x:v>
      </x:c>
      <x:c r="H59" s="16" t="str">
        <x:v>Deadlift</x:v>
      </x:c>
      <x:c r="I59" s="16" t="str">
        <x:v>3</x:v>
      </x:c>
      <x:c r="J59" s="19" t="n">
        <x:v>1</x:v>
      </x:c>
      <x:c r="K59" s="19" t="n">
        <x:f>ROUND(INDEX(Setup!$G$11:$G$13,MATCH(E59,Setup!$A$11:$A$13,0))*0.8/Setup!$B$4,0)*Setup!$B$4</x:f>
        <x:v>152.5</x:v>
      </x:c>
      <x:c r="L59" s="31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17"/>
      <x:c r="X59" s="36" t="str"/>
      <x:c r="Y59" s="35"/>
    </x:row>
    <x:row r="60">
      <x:c r="A60" s="28" t="n">
        <x:v>1</x:v>
      </x:c>
      <x:c r="B60" s="28" t="n">
        <x:v>2</x:v>
      </x:c>
      <x:c r="C60" s="30"/>
      <x:c r="D60" s="16" t="str">
        <x:v>Fri</x:v>
      </x:c>
      <x:c r="E60" s="16" t="str">
        <x:v>Deadlift</x:v>
      </x:c>
      <x:c r="F60" s="16" t="str">
        <x:v>Main</x:v>
      </x:c>
      <x:c r="G60" s="16" t="str">
        <x:v>Top set</x:v>
      </x:c>
      <x:c r="H60" s="16" t="str">
        <x:v>Deadlift</x:v>
      </x:c>
      <x:c r="I60" s="16" t="str">
        <x:v>3+</x:v>
      </x:c>
      <x:c r="J60" s="19" t="n">
        <x:v>1</x:v>
      </x:c>
      <x:c r="K60" s="19" t="n">
        <x:f>ROUND(INDEX(Setup!$G$11:$G$13,MATCH(E60,Setup!$A$11:$A$13,0))*0.9/Setup!$B$4,0)*Setup!$B$4</x:f>
        <x:v>170</x:v>
      </x:c>
      <x:c r="L60" s="31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17"/>
      <x:c r="X60" s="36" t="str">
        <x:v>Cap at RPE 8 / 2+ RIR.</x:v>
      </x:c>
      <x:c r="Y60" s="35"/>
    </x:row>
    <x:row r="61">
      <x:c r="A61" s="28" t="n">
        <x:v>1</x:v>
      </x:c>
      <x:c r="B61" s="28" t="n">
        <x:v>2</x:v>
      </x:c>
      <x:c r="C61" s="30"/>
      <x:c r="D61" s="16" t="str">
        <x:v>Fri</x:v>
      </x:c>
      <x:c r="E61" s="16" t="str">
        <x:v>Deadlift</x:v>
      </x:c>
      <x:c r="F61" s="16" t="str">
        <x:v>FSL</x:v>
      </x:c>
      <x:c r="G61" s="16" t="str">
        <x:v>First set last</x:v>
      </x:c>
      <x:c r="H61" s="16" t="str">
        <x:v>Deadlift</x:v>
      </x:c>
      <x:c r="I61" s="16" t="str">
        <x:v>5</x:v>
      </x:c>
      <x:c r="J61" s="19" t="n">
        <x:v>4</x:v>
      </x:c>
      <x:c r="K61" s="19" t="n">
        <x:f>ROUND(INDEX(Setup!$G$11:$G$13,MATCH(E61,Setup!$A$11:$A$13,0))*0.65/Setup!$B$4,0)*Setup!$B$4</x:f>
        <x:v>122.5</x:v>
      </x:c>
      <x:c r="L61" s="31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17"/>
      <x:c r="X61" s="36" t="str">
        <x:v>Same weight each set; cut volume if bar speed slows.</x:v>
      </x:c>
      <x:c r="Y61" s="35"/>
    </x:row>
    <x:row r="62">
      <x:c r="A62" s="29" t="n">
        <x:v>1</x:v>
      </x:c>
      <x:c r="B62" s="29" t="n">
        <x:v>2</x:v>
      </x:c>
      <x:c r="C62" s="30"/>
      <x:c r="D62" s="27" t="str">
        <x:v>Fri</x:v>
      </x:c>
      <x:c r="E62" s="27" t="str">
        <x:v>Deadlift</x:v>
      </x:c>
      <x:c r="F62" s="27" t="str">
        <x:v>Accessory</x:v>
      </x:c>
      <x:c r="G62" s="27" t="str">
        <x:v>Posterior chain</x:v>
      </x:c>
      <x:c r="H62" s="27" t="str">
        <x:f>Accessory_Config!$C$20</x:f>
        <x:v>Romanian deadlift</x:v>
      </x:c>
      <x:c r="I62" s="27" t="str">
        <x:f>Accessory_Config!$E$20&amp;"-"&amp;Accessory_Config!$F$20</x:f>
        <x:v>8-10</x:v>
      </x:c>
      <x:c r="J62" s="32" t="n">
        <x:f>Accessory_Config!$D$20</x:f>
        <x:v>3</x:v>
      </x:c>
      <x:c r="K62" s="32"/>
      <x:c r="L62" s="31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17"/>
      <x:c r="X62" s="36" t="str">
        <x:v>Back extension; Hip thrust</x:v>
      </x:c>
      <x:c r="Y62" s="35" t="str">
        <x:f>IF(L62="","",IF(AND(COUNT(M62,O62,Q62,S62,U62)&gt;=J62,MIN(M62,O62,Q62,IF(J62&gt;=4,S62,999),IF(J62&gt;=5,U62,999))&gt;=Accessory_Config!$F$20,MIN(N62,P62,R62,IF(J62&gt;=4,T62,999),IF(J62&gt;=5,V62,999))&gt;=2),L62+Accessory_Config!$H$20,L62))</x:f>
      </x:c>
    </x:row>
    <x:row r="63">
      <x:c r="A63" s="29" t="n">
        <x:v>1</x:v>
      </x:c>
      <x:c r="B63" s="29" t="n">
        <x:v>2</x:v>
      </x:c>
      <x:c r="C63" s="30"/>
      <x:c r="D63" s="27" t="str">
        <x:v>Fri</x:v>
      </x:c>
      <x:c r="E63" s="27" t="str">
        <x:v>Deadlift</x:v>
      </x:c>
      <x:c r="F63" s="27" t="str">
        <x:v>Accessory</x:v>
      </x:c>
      <x:c r="G63" s="27" t="str">
        <x:v>Back extension</x:v>
      </x:c>
      <x:c r="H63" s="27" t="str">
        <x:f>Accessory_Config!$C$21</x:f>
        <x:v>45 degree back extension</x:v>
      </x:c>
      <x:c r="I63" s="27" t="str">
        <x:f>Accessory_Config!$E$21&amp;"-"&amp;Accessory_Config!$F$21</x:f>
        <x:v>12-15</x:v>
      </x:c>
      <x:c r="J63" s="32" t="n">
        <x:f>Accessory_Config!$D$21</x:f>
        <x:v>3</x:v>
      </x:c>
      <x:c r="K63" s="32"/>
      <x:c r="L63" s="31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17"/>
      <x:c r="X63" s="36" t="str">
        <x:v>Hip thrust</x:v>
      </x:c>
      <x:c r="Y63" s="35" t="str">
        <x:f>IF(L63="","",IF(AND(COUNT(M63,O63,Q63,S63,U63)&gt;=J63,MIN(M63,O63,Q63,IF(J63&gt;=4,S63,999),IF(J63&gt;=5,U63,999))&gt;=Accessory_Config!$F$21,MIN(N63,P63,R63,IF(J63&gt;=4,T63,999),IF(J63&gt;=5,V63,999))&gt;=2),L63+Accessory_Config!$H$21,L63))</x:f>
      </x:c>
    </x:row>
    <x:row r="64">
      <x:c r="A64" s="29" t="n">
        <x:v>1</x:v>
      </x:c>
      <x:c r="B64" s="29" t="n">
        <x:v>2</x:v>
      </x:c>
      <x:c r="C64" s="30"/>
      <x:c r="D64" s="27" t="str">
        <x:v>Fri</x:v>
      </x:c>
      <x:c r="E64" s="27" t="str">
        <x:v>Deadlift</x:v>
      </x:c>
      <x:c r="F64" s="27" t="str">
        <x:v>Accessory</x:v>
      </x:c>
      <x:c r="G64" s="27" t="str">
        <x:v>Row</x:v>
      </x:c>
      <x:c r="H64" s="27" t="str">
        <x:f>Accessory_Config!$C$22</x:f>
        <x:v>DB row</x:v>
      </x:c>
      <x:c r="I64" s="27" t="str">
        <x:f>Accessory_Config!$E$22&amp;"-"&amp;Accessory_Config!$F$22</x:f>
        <x:v>10-10</x:v>
      </x:c>
      <x:c r="J64" s="32" t="n">
        <x:f>Accessory_Config!$D$22</x:f>
        <x:v>3</x:v>
      </x:c>
      <x:c r="K64" s="32"/>
      <x:c r="L64" s="31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17"/>
      <x:c r="X64" s="36" t="str">
        <x:v>Chest-supported row; Seal row</x:v>
      </x:c>
      <x:c r="Y64" s="35" t="str">
        <x:f>IF(L64="","",IF(AND(COUNT(M64,O64,Q64,S64,U64)&gt;=J64,MIN(M64,O64,Q64,IF(J64&gt;=4,S64,999),IF(J64&gt;=5,U64,999))&gt;=Accessory_Config!$F$22,MIN(N64,P64,R64,IF(J64&gt;=4,T64,999),IF(J64&gt;=5,V64,999))&gt;=2),L64+Accessory_Config!$H$22,L64))</x:f>
      </x:c>
    </x:row>
    <x:row r="65">
      <x:c r="A65" s="29" t="n">
        <x:v>1</x:v>
      </x:c>
      <x:c r="B65" s="29" t="n">
        <x:v>2</x:v>
      </x:c>
      <x:c r="C65" s="30"/>
      <x:c r="D65" s="27" t="str">
        <x:v>Fri</x:v>
      </x:c>
      <x:c r="E65" s="27" t="str">
        <x:v>Deadlift</x:v>
      </x:c>
      <x:c r="F65" s="27" t="str">
        <x:v>Accessory</x:v>
      </x:c>
      <x:c r="G65" s="27" t="str">
        <x:v>Core</x:v>
      </x:c>
      <x:c r="H65" s="27" t="str">
        <x:f>Accessory_Config!$C$23</x:f>
        <x:v>Cable crunch</x:v>
      </x:c>
      <x:c r="I65" s="27" t="str">
        <x:f>Accessory_Config!$E$23&amp;"-"&amp;Accessory_Config!$F$23</x:f>
        <x:v>10-15</x:v>
      </x:c>
      <x:c r="J65" s="32" t="n">
        <x:f>Accessory_Config!$D$23</x:f>
        <x:v>3</x:v>
      </x:c>
      <x:c r="K65" s="32"/>
      <x:c r="L65" s="31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17"/>
      <x:c r="X65" s="36" t="str">
        <x:v>Plank; Ab wheel</x:v>
      </x:c>
      <x:c r="Y65" s="35" t="str">
        <x:f>IF(L65="","",IF(AND(COUNT(M65,O65,Q65,S65,U65)&gt;=J65,MIN(M65,O65,Q65,IF(J65&gt;=4,S65,999),IF(J65&gt;=5,U65,999))&gt;=Accessory_Config!$F$23,MIN(N65,P65,R65,IF(J65&gt;=4,T65,999),IF(J65&gt;=5,V65,999))&gt;=2),L65+Accessory_Config!$H$23,L65))</x:f>
      </x:c>
    </x:row>
    <x:row r="66">
      <x:c r="A66" s="28" t="n">
        <x:v>1</x:v>
      </x:c>
      <x:c r="B66" s="28" t="n">
        <x:v>3</x:v>
      </x:c>
      <x:c r="C66" s="30"/>
      <x:c r="D66" s="16" t="str">
        <x:v>Mon</x:v>
      </x:c>
      <x:c r="E66" s="16" t="str">
        <x:v>Squat</x:v>
      </x:c>
      <x:c r="F66" s="16" t="str">
        <x:v>Main</x:v>
      </x:c>
      <x:c r="G66" s="16" t="str">
        <x:v>Set 1</x:v>
      </x:c>
      <x:c r="H66" s="16" t="str">
        <x:v>Squat</x:v>
      </x:c>
      <x:c r="I66" s="16" t="str">
        <x:v>5</x:v>
      </x:c>
      <x:c r="J66" s="19" t="n">
        <x:v>1</x:v>
      </x:c>
      <x:c r="K66" s="19" t="n">
        <x:f>ROUND(INDEX(Setup!$G$11:$G$13,MATCH(E66,Setup!$A$11:$A$13,0))*0.75/Setup!$B$4,0)*Setup!$B$4</x:f>
        <x:v>77.5</x:v>
      </x:c>
      <x:c r="L66" s="31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17"/>
      <x:c r="X66" s="36" t="str"/>
      <x:c r="Y66" s="35"/>
    </x:row>
    <x:row r="67">
      <x:c r="A67" s="28" t="n">
        <x:v>1</x:v>
      </x:c>
      <x:c r="B67" s="28" t="n">
        <x:v>3</x:v>
      </x:c>
      <x:c r="C67" s="30"/>
      <x:c r="D67" s="16" t="str">
        <x:v>Mon</x:v>
      </x:c>
      <x:c r="E67" s="16" t="str">
        <x:v>Squat</x:v>
      </x:c>
      <x:c r="F67" s="16" t="str">
        <x:v>Main</x:v>
      </x:c>
      <x:c r="G67" s="16" t="str">
        <x:v>Set 2</x:v>
      </x:c>
      <x:c r="H67" s="16" t="str">
        <x:v>Squat</x:v>
      </x:c>
      <x:c r="I67" s="16" t="str">
        <x:v>3</x:v>
      </x:c>
      <x:c r="J67" s="19" t="n">
        <x:v>1</x:v>
      </x:c>
      <x:c r="K67" s="19" t="n">
        <x:f>ROUND(INDEX(Setup!$G$11:$G$13,MATCH(E67,Setup!$A$11:$A$13,0))*0.85/Setup!$B$4,0)*Setup!$B$4</x:f>
        <x:v>87.5</x:v>
      </x:c>
      <x:c r="L67" s="31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17"/>
      <x:c r="X67" s="36" t="str"/>
      <x:c r="Y67" s="35"/>
    </x:row>
    <x:row r="68">
      <x:c r="A68" s="28" t="n">
        <x:v>1</x:v>
      </x:c>
      <x:c r="B68" s="28" t="n">
        <x:v>3</x:v>
      </x:c>
      <x:c r="C68" s="30"/>
      <x:c r="D68" s="16" t="str">
        <x:v>Mon</x:v>
      </x:c>
      <x:c r="E68" s="16" t="str">
        <x:v>Squat</x:v>
      </x:c>
      <x:c r="F68" s="16" t="str">
        <x:v>Main</x:v>
      </x:c>
      <x:c r="G68" s="16" t="str">
        <x:v>Top set</x:v>
      </x:c>
      <x:c r="H68" s="16" t="str">
        <x:v>Squat</x:v>
      </x:c>
      <x:c r="I68" s="16" t="str">
        <x:v>1+</x:v>
      </x:c>
      <x:c r="J68" s="19" t="n">
        <x:v>1</x:v>
      </x:c>
      <x:c r="K68" s="19" t="n">
        <x:f>ROUND(INDEX(Setup!$G$11:$G$13,MATCH(E68,Setup!$A$11:$A$13,0))*0.95/Setup!$B$4,0)*Setup!$B$4</x:f>
        <x:v>97.5</x:v>
      </x:c>
      <x:c r="L68" s="31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17"/>
      <x:c r="X68" s="36" t="str">
        <x:v>Cap at RPE 8 / 2+ RIR.</x:v>
      </x:c>
      <x:c r="Y68" s="35"/>
    </x:row>
    <x:row r="69">
      <x:c r="A69" s="28" t="n">
        <x:v>1</x:v>
      </x:c>
      <x:c r="B69" s="28" t="n">
        <x:v>3</x:v>
      </x:c>
      <x:c r="C69" s="30"/>
      <x:c r="D69" s="16" t="str">
        <x:v>Mon</x:v>
      </x:c>
      <x:c r="E69" s="16" t="str">
        <x:v>Squat</x:v>
      </x:c>
      <x:c r="F69" s="16" t="str">
        <x:v>FSL</x:v>
      </x:c>
      <x:c r="G69" s="16" t="str">
        <x:v>First set last</x:v>
      </x:c>
      <x:c r="H69" s="16" t="str">
        <x:v>Squat</x:v>
      </x:c>
      <x:c r="I69" s="16" t="str">
        <x:v>5</x:v>
      </x:c>
      <x:c r="J69" s="19" t="n">
        <x:v>5</x:v>
      </x:c>
      <x:c r="K69" s="19" t="n">
        <x:f>ROUND(INDEX(Setup!$G$11:$G$13,MATCH(E69,Setup!$A$11:$A$13,0))*0.65/Setup!$B$4,0)*Setup!$B$4</x:f>
        <x:v>67.5</x:v>
      </x:c>
      <x:c r="L69" s="31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17"/>
      <x:c r="X69" s="36" t="str">
        <x:v>Same weight each set; cut volume if bar speed slows.</x:v>
      </x:c>
      <x:c r="Y69" s="35"/>
    </x:row>
    <x:row r="70">
      <x:c r="A70" s="29" t="n">
        <x:v>1</x:v>
      </x:c>
      <x:c r="B70" s="29" t="n">
        <x:v>3</x:v>
      </x:c>
      <x:c r="C70" s="30"/>
      <x:c r="D70" s="27" t="str">
        <x:v>Mon</x:v>
      </x:c>
      <x:c r="E70" s="27" t="str">
        <x:v>Squat</x:v>
      </x:c>
      <x:c r="F70" s="27" t="str">
        <x:v>Accessory</x:v>
      </x:c>
      <x:c r="G70" s="27" t="str">
        <x:v>Quad volume</x:v>
      </x:c>
      <x:c r="H70" s="27" t="str">
        <x:f>Accessory_Config!$C$6</x:f>
        <x:v>Leg press</x:v>
      </x:c>
      <x:c r="I70" s="27" t="str">
        <x:f>Accessory_Config!$E$6&amp;"-"&amp;Accessory_Config!$F$6</x:f>
        <x:v>10-12</x:v>
      </x:c>
      <x:c r="J70" s="32" t="n">
        <x:f>Accessory_Config!$D$6</x:f>
        <x:v>3</x:v>
      </x:c>
      <x:c r="K70" s="32"/>
      <x:c r="L70" s="31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17"/>
      <x:c r="X70" s="36" t="str">
        <x:v>Bulgarian split squat; Hack squat</x:v>
      </x:c>
      <x:c r="Y70" s="35" t="str">
        <x:f>IF(L70="","",IF(AND(COUNT(M70,O70,Q70,S70,U70)&gt;=J70,MIN(M70,O70,Q70,IF(J70&gt;=4,S70,999),IF(J70&gt;=5,U70,999))&gt;=Accessory_Config!$F$6,MIN(N70,P70,R70,IF(J70&gt;=4,T70,999),IF(J70&gt;=5,V70,999))&gt;=2),L70+Accessory_Config!$H$6,L70))</x:f>
      </x:c>
    </x:row>
    <x:row r="71">
      <x:c r="A71" s="29" t="n">
        <x:v>1</x:v>
      </x:c>
      <x:c r="B71" s="29" t="n">
        <x:v>3</x:v>
      </x:c>
      <x:c r="C71" s="30"/>
      <x:c r="D71" s="27" t="str">
        <x:v>Mon</x:v>
      </x:c>
      <x:c r="E71" s="27" t="str">
        <x:v>Squat</x:v>
      </x:c>
      <x:c r="F71" s="27" t="str">
        <x:v>Accessory</x:v>
      </x:c>
      <x:c r="G71" s="27" t="str">
        <x:v>Hamstring support</x:v>
      </x:c>
      <x:c r="H71" s="27" t="str">
        <x:f>Accessory_Config!$C$7</x:f>
        <x:v>Lying / seated leg curl</x:v>
      </x:c>
      <x:c r="I71" s="27" t="str">
        <x:f>Accessory_Config!$E$7&amp;"-"&amp;Accessory_Config!$F$7</x:f>
        <x:v>12-15</x:v>
      </x:c>
      <x:c r="J71" s="32" t="n">
        <x:f>Accessory_Config!$D$7</x:f>
        <x:v>3</x:v>
      </x:c>
      <x:c r="K71" s="32"/>
      <x:c r="L71" s="31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17"/>
      <x:c r="X71" s="36" t="str">
        <x:v>Assisted Nordic curl</x:v>
      </x:c>
      <x:c r="Y71" s="35" t="str">
        <x:f>IF(L71="","",IF(AND(COUNT(M71,O71,Q71,S71,U71)&gt;=J71,MIN(M71,O71,Q71,IF(J71&gt;=4,S71,999),IF(J71&gt;=5,U71,999))&gt;=Accessory_Config!$F$7,MIN(N71,P71,R71,IF(J71&gt;=4,T71,999),IF(J71&gt;=5,V71,999))&gt;=2),L71+Accessory_Config!$H$7,L71))</x:f>
      </x:c>
    </x:row>
    <x:row r="72">
      <x:c r="A72" s="29" t="n">
        <x:v>1</x:v>
      </x:c>
      <x:c r="B72" s="29" t="n">
        <x:v>3</x:v>
      </x:c>
      <x:c r="C72" s="30"/>
      <x:c r="D72" s="27" t="str">
        <x:v>Mon</x:v>
      </x:c>
      <x:c r="E72" s="27" t="str">
        <x:v>Squat</x:v>
      </x:c>
      <x:c r="F72" s="27" t="str">
        <x:v>Accessory</x:v>
      </x:c>
      <x:c r="G72" s="27" t="str">
        <x:v>Pressing support</x:v>
      </x:c>
      <x:c r="H72" s="27" t="str">
        <x:f>Accessory_Config!$C$8</x:f>
        <x:v>Triceps pushdown</x:v>
      </x:c>
      <x:c r="I72" s="27" t="str">
        <x:f>Accessory_Config!$E$8&amp;"-"&amp;Accessory_Config!$F$8</x:f>
        <x:v>12-15</x:v>
      </x:c>
      <x:c r="J72" s="32" t="n">
        <x:f>Accessory_Config!$D$8</x:f>
        <x:v>3</x:v>
      </x:c>
      <x:c r="K72" s="32"/>
      <x:c r="L72" s="31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17"/>
      <x:c r="X72" s="36" t="str">
        <x:v>Rope overhead extension if shoulder calm</x:v>
      </x:c>
      <x:c r="Y72" s="35" t="str">
        <x:f>IF(L72="","",IF(AND(COUNT(M72,O72,Q72,S72,U72)&gt;=J72,MIN(M72,O72,Q72,IF(J72&gt;=4,S72,999),IF(J72&gt;=5,U72,999))&gt;=Accessory_Config!$F$8,MIN(N72,P72,R72,IF(J72&gt;=4,T72,999),IF(J72&gt;=5,V72,999))&gt;=2),L72+Accessory_Config!$H$8,L72))</x:f>
      </x:c>
    </x:row>
    <x:row r="73">
      <x:c r="A73" s="29" t="n">
        <x:v>1</x:v>
      </x:c>
      <x:c r="B73" s="29" t="n">
        <x:v>3</x:v>
      </x:c>
      <x:c r="C73" s="30"/>
      <x:c r="D73" s="27" t="str">
        <x:v>Mon</x:v>
      </x:c>
      <x:c r="E73" s="27" t="str">
        <x:v>Squat</x:v>
      </x:c>
      <x:c r="F73" s="27" t="str">
        <x:v>Accessory</x:v>
      </x:c>
      <x:c r="G73" s="27" t="str">
        <x:v>Core</x:v>
      </x:c>
      <x:c r="H73" s="27" t="str">
        <x:f>Accessory_Config!$C$9</x:f>
        <x:v>Hanging leg raise</x:v>
      </x:c>
      <x:c r="I73" s="27" t="str">
        <x:f>Accessory_Config!$E$9&amp;"-"&amp;Accessory_Config!$F$9</x:f>
        <x:v>10-15</x:v>
      </x:c>
      <x:c r="J73" s="32" t="n">
        <x:f>Accessory_Config!$D$9</x:f>
        <x:v>3</x:v>
      </x:c>
      <x:c r="K73" s="32"/>
      <x:c r="L73" s="31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17"/>
      <x:c r="X73" s="36" t="str">
        <x:v>Ab wheel; Plank</x:v>
      </x:c>
      <x:c r="Y73" s="35" t="str">
        <x:f>IF(L73="","",IF(AND(COUNT(M73,O73,Q73,S73,U73)&gt;=J73,MIN(M73,O73,Q73,IF(J73&gt;=4,S73,999),IF(J73&gt;=5,U73,999))&gt;=Accessory_Config!$F$9,MIN(N73,P73,R73,IF(J73&gt;=4,T73,999),IF(J73&gt;=5,V73,999))&gt;=2),L73+Accessory_Config!$H$9,L73))</x:f>
      </x:c>
    </x:row>
    <x:row r="74">
      <x:c r="A74" s="28" t="n">
        <x:v>1</x:v>
      </x:c>
      <x:c r="B74" s="28" t="n">
        <x:v>3</x:v>
      </x:c>
      <x:c r="C74" s="30"/>
      <x:c r="D74" s="16" t="str">
        <x:v>Wed</x:v>
      </x:c>
      <x:c r="E74" s="16" t="str">
        <x:v>Bench</x:v>
      </x:c>
      <x:c r="F74" s="16" t="str">
        <x:v>Main</x:v>
      </x:c>
      <x:c r="G74" s="16" t="str">
        <x:v>Set 1</x:v>
      </x:c>
      <x:c r="H74" s="16" t="str">
        <x:v>Bench</x:v>
      </x:c>
      <x:c r="I74" s="16" t="str">
        <x:v>5</x:v>
      </x:c>
      <x:c r="J74" s="19" t="n">
        <x:v>1</x:v>
      </x:c>
      <x:c r="K74" s="19" t="n">
        <x:f>ROUND(INDEX(Setup!$G$11:$G$13,MATCH(E74,Setup!$A$11:$A$13,0))*0.75/Setup!$B$4,0)*Setup!$B$4</x:f>
        <x:v>65</x:v>
      </x:c>
      <x:c r="L74" s="31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17"/>
      <x:c r="X74" s="36" t="str"/>
      <x:c r="Y74" s="35"/>
    </x:row>
    <x:row r="75">
      <x:c r="A75" s="28" t="n">
        <x:v>1</x:v>
      </x:c>
      <x:c r="B75" s="28" t="n">
        <x:v>3</x:v>
      </x:c>
      <x:c r="C75" s="30"/>
      <x:c r="D75" s="16" t="str">
        <x:v>Wed</x:v>
      </x:c>
      <x:c r="E75" s="16" t="str">
        <x:v>Bench</x:v>
      </x:c>
      <x:c r="F75" s="16" t="str">
        <x:v>Main</x:v>
      </x:c>
      <x:c r="G75" s="16" t="str">
        <x:v>Set 2</x:v>
      </x:c>
      <x:c r="H75" s="16" t="str">
        <x:v>Bench</x:v>
      </x:c>
      <x:c r="I75" s="16" t="str">
        <x:v>3</x:v>
      </x:c>
      <x:c r="J75" s="19" t="n">
        <x:v>1</x:v>
      </x:c>
      <x:c r="K75" s="19" t="n">
        <x:f>ROUND(INDEX(Setup!$G$11:$G$13,MATCH(E75,Setup!$A$11:$A$13,0))*0.85/Setup!$B$4,0)*Setup!$B$4</x:f>
        <x:v>72.5</x:v>
      </x:c>
      <x:c r="L75" s="31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17"/>
      <x:c r="X75" s="36" t="str"/>
      <x:c r="Y75" s="35"/>
    </x:row>
    <x:row r="76">
      <x:c r="A76" s="28" t="n">
        <x:v>1</x:v>
      </x:c>
      <x:c r="B76" s="28" t="n">
        <x:v>3</x:v>
      </x:c>
      <x:c r="C76" s="30"/>
      <x:c r="D76" s="16" t="str">
        <x:v>Wed</x:v>
      </x:c>
      <x:c r="E76" s="16" t="str">
        <x:v>Bench</x:v>
      </x:c>
      <x:c r="F76" s="16" t="str">
        <x:v>Main</x:v>
      </x:c>
      <x:c r="G76" s="16" t="str">
        <x:v>Top set</x:v>
      </x:c>
      <x:c r="H76" s="16" t="str">
        <x:v>Bench</x:v>
      </x:c>
      <x:c r="I76" s="16" t="str">
        <x:v>1</x:v>
      </x:c>
      <x:c r="J76" s="19" t="n">
        <x:v>1</x:v>
      </x:c>
      <x:c r="K76" s="19" t="n">
        <x:f>ROUND(INDEX(Setup!$G$11:$G$13,MATCH(E76,Setup!$A$11:$A$13,0))*0.95/Setup!$B$4,0)*Setup!$B$4</x:f>
        <x:v>80</x:v>
      </x:c>
      <x:c r="L76" s="31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17"/>
      <x:c r="X76" s="36" t="str">
        <x:v>No AMRAP; stop with shoulder calm.</x:v>
      </x:c>
      <x:c r="Y76" s="35"/>
    </x:row>
    <x:row r="77">
      <x:c r="A77" s="28" t="n">
        <x:v>1</x:v>
      </x:c>
      <x:c r="B77" s="28" t="n">
        <x:v>3</x:v>
      </x:c>
      <x:c r="C77" s="30"/>
      <x:c r="D77" s="16" t="str">
        <x:v>Wed</x:v>
      </x:c>
      <x:c r="E77" s="16" t="str">
        <x:v>Bench</x:v>
      </x:c>
      <x:c r="F77" s="16" t="str">
        <x:v>FSL</x:v>
      </x:c>
      <x:c r="G77" s="16" t="str">
        <x:v>First set last</x:v>
      </x:c>
      <x:c r="H77" s="16" t="str">
        <x:v>Bench</x:v>
      </x:c>
      <x:c r="I77" s="16" t="str">
        <x:v>5</x:v>
      </x:c>
      <x:c r="J77" s="19" t="n">
        <x:v>5</x:v>
      </x:c>
      <x:c r="K77" s="19" t="n">
        <x:f>ROUND(INDEX(Setup!$G$11:$G$13,MATCH(E77,Setup!$A$11:$A$13,0))*0.65/Setup!$B$4,0)*Setup!$B$4</x:f>
        <x:v>55</x:v>
      </x:c>
      <x:c r="L77" s="31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17"/>
      <x:c r="X77" s="36" t="str">
        <x:v>Same weight each set; cut volume if bar speed slows.</x:v>
      </x:c>
      <x:c r="Y77" s="35"/>
    </x:row>
    <x:row r="78">
      <x:c r="A78" s="29" t="n">
        <x:v>1</x:v>
      </x:c>
      <x:c r="B78" s="29" t="n">
        <x:v>3</x:v>
      </x:c>
      <x:c r="C78" s="30"/>
      <x:c r="D78" s="27" t="str">
        <x:v>Wed</x:v>
      </x:c>
      <x:c r="E78" s="27" t="str">
        <x:v>Bench</x:v>
      </x:c>
      <x:c r="F78" s="27" t="str">
        <x:v>Accessory</x:v>
      </x:c>
      <x:c r="G78" s="27" t="str">
        <x:v>Heavy row</x:v>
      </x:c>
      <x:c r="H78" s="27" t="str">
        <x:f>Accessory_Config!$C$10</x:f>
        <x:v>Chest-supported row</x:v>
      </x:c>
      <x:c r="I78" s="27" t="str">
        <x:f>Accessory_Config!$E$10&amp;"-"&amp;Accessory_Config!$F$10</x:f>
        <x:v>8-12</x:v>
      </x:c>
      <x:c r="J78" s="32" t="n">
        <x:f>Accessory_Config!$D$10</x:f>
        <x:v>4</x:v>
      </x:c>
      <x:c r="K78" s="32"/>
      <x:c r="L78" s="31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17"/>
      <x:c r="X78" s="36" t="str">
        <x:v>Seal row; DB row</x:v>
      </x:c>
      <x:c r="Y78" s="35" t="str">
        <x:f>IF(L78="","",IF(AND(COUNT(M78,O78,Q78,S78,U78)&gt;=J78,MIN(M78,O78,Q78,IF(J78&gt;=4,S78,999),IF(J78&gt;=5,U78,999))&gt;=Accessory_Config!$F$10,MIN(N78,P78,R78,IF(J78&gt;=4,T78,999),IF(J78&gt;=5,V78,999))&gt;=2),L78+Accessory_Config!$H$10,L78))</x:f>
      </x:c>
    </x:row>
    <x:row r="79">
      <x:c r="A79" s="29" t="n">
        <x:v>1</x:v>
      </x:c>
      <x:c r="B79" s="29" t="n">
        <x:v>3</x:v>
      </x:c>
      <x:c r="C79" s="30"/>
      <x:c r="D79" s="27" t="str">
        <x:v>Wed</x:v>
      </x:c>
      <x:c r="E79" s="27" t="str">
        <x:v>Bench</x:v>
      </x:c>
      <x:c r="F79" s="27" t="str">
        <x:v>Accessory</x:v>
      </x:c>
      <x:c r="G79" s="27" t="str">
        <x:v>Vertical pull</x:v>
      </x:c>
      <x:c r="H79" s="27" t="str">
        <x:f>Accessory_Config!$C$11</x:f>
        <x:v>Neutral-grip lat pulldown</x:v>
      </x:c>
      <x:c r="I79" s="27" t="str">
        <x:f>Accessory_Config!$E$11&amp;"-"&amp;Accessory_Config!$F$11</x:f>
        <x:v>10-12</x:v>
      </x:c>
      <x:c r="J79" s="32" t="n">
        <x:f>Accessory_Config!$D$11</x:f>
        <x:v>3</x:v>
      </x:c>
      <x:c r="K79" s="32"/>
      <x:c r="L79" s="31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17"/>
      <x:c r="X79" s="36" t="str">
        <x:v>Assisted pull-up</x:v>
      </x:c>
      <x:c r="Y79" s="35" t="str">
        <x:f>IF(L79="","",IF(AND(COUNT(M79,O79,Q79,S79,U79)&gt;=J79,MIN(M79,O79,Q79,IF(J79&gt;=4,S79,999),IF(J79&gt;=5,U79,999))&gt;=Accessory_Config!$F$11,MIN(N79,P79,R79,IF(J79&gt;=4,T79,999),IF(J79&gt;=5,V79,999))&gt;=2),L79+Accessory_Config!$H$11,L79))</x:f>
      </x:c>
    </x:row>
    <x:row r="80">
      <x:c r="A80" s="29" t="n">
        <x:v>1</x:v>
      </x:c>
      <x:c r="B80" s="29" t="n">
        <x:v>3</x:v>
      </x:c>
      <x:c r="C80" s="30"/>
      <x:c r="D80" s="27" t="str">
        <x:v>Wed</x:v>
      </x:c>
      <x:c r="E80" s="27" t="str">
        <x:v>Bench</x:v>
      </x:c>
      <x:c r="F80" s="27" t="str">
        <x:v>Accessory</x:v>
      </x:c>
      <x:c r="G80" s="27" t="str">
        <x:v>Optional press</x:v>
      </x:c>
      <x:c r="H80" s="27" t="str">
        <x:f>Accessory_Config!$C$12</x:f>
        <x:v>Incline DB press neutral grip</x:v>
      </x:c>
      <x:c r="I80" s="27" t="str">
        <x:f>Accessory_Config!$E$12&amp;"-"&amp;Accessory_Config!$F$12</x:f>
        <x:v>8-12</x:v>
      </x:c>
      <x:c r="J80" s="32" t="n">
        <x:f>Accessory_Config!$D$12</x:f>
        <x:v>3</x:v>
      </x:c>
      <x:c r="K80" s="32"/>
      <x:c r="L80" s="31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17"/>
      <x:c r="X80" s="36" t="str">
        <x:v>Only if pain-free; Machine press; Push-up handles</x:v>
      </x:c>
      <x:c r="Y80" s="35" t="str">
        <x:f>IF(L80="","",IF(AND(COUNT(M80,O80,Q80,S80,U80)&gt;=J80,MIN(M80,O80,Q80,IF(J80&gt;=4,S80,999),IF(J80&gt;=5,U80,999))&gt;=Accessory_Config!$F$12,MIN(N80,P80,R80,IF(J80&gt;=4,T80,999),IF(J80&gt;=5,V80,999))&gt;=2),L80+Accessory_Config!$H$12,L80))</x:f>
      </x:c>
    </x:row>
    <x:row r="81">
      <x:c r="A81" s="29" t="n">
        <x:v>1</x:v>
      </x:c>
      <x:c r="B81" s="29" t="n">
        <x:v>3</x:v>
      </x:c>
      <x:c r="C81" s="30"/>
      <x:c r="D81" s="27" t="str">
        <x:v>Wed</x:v>
      </x:c>
      <x:c r="E81" s="27" t="str">
        <x:v>Bench</x:v>
      </x:c>
      <x:c r="F81" s="27" t="str">
        <x:v>Accessory</x:v>
      </x:c>
      <x:c r="G81" s="27" t="str">
        <x:v>Arm balance</x:v>
      </x:c>
      <x:c r="H81" s="27" t="str">
        <x:f>Accessory_Config!$C$13</x:f>
        <x:v>DB hammer curl</x:v>
      </x:c>
      <x:c r="I81" s="27" t="str">
        <x:f>Accessory_Config!$E$13&amp;"-"&amp;Accessory_Config!$F$13</x:f>
        <x:v>12-12</x:v>
      </x:c>
      <x:c r="J81" s="32" t="n">
        <x:f>Accessory_Config!$D$13</x:f>
        <x:v>3</x:v>
      </x:c>
      <x:c r="K81" s="32"/>
      <x:c r="L81" s="31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17"/>
      <x:c r="X81" s="36" t="str">
        <x:v>Cable curl</x:v>
      </x:c>
      <x:c r="Y81" s="35" t="str">
        <x:f>IF(L81="","",IF(AND(COUNT(M81,O81,Q81,S81,U81)&gt;=J81,MIN(M81,O81,Q81,IF(J81&gt;=4,S81,999),IF(J81&gt;=5,U81,999))&gt;=Accessory_Config!$F$13,MIN(N81,P81,R81,IF(J81&gt;=4,T81,999),IF(J81&gt;=5,V81,999))&gt;=2),L81+Accessory_Config!$H$13,L81))</x:f>
      </x:c>
    </x:row>
    <x:row r="82">
      <x:c r="A82" s="29" t="n">
        <x:v>1</x:v>
      </x:c>
      <x:c r="B82" s="29" t="n">
        <x:v>3</x:v>
      </x:c>
      <x:c r="C82" s="30"/>
      <x:c r="D82" s="27" t="str">
        <x:v>Wed</x:v>
      </x:c>
      <x:c r="E82" s="27" t="str">
        <x:v>Bench</x:v>
      </x:c>
      <x:c r="F82" s="27" t="str">
        <x:v>Accessory</x:v>
      </x:c>
      <x:c r="G82" s="27" t="str">
        <x:v>Shoulder prehab</x:v>
      </x:c>
      <x:c r="H82" s="27" t="str">
        <x:f>Accessory_Config!$C$14</x:f>
        <x:v>Face pulls + band external rotation</x:v>
      </x:c>
      <x:c r="I82" s="27" t="str">
        <x:f>Accessory_Config!$E$14&amp;"-"&amp;Accessory_Config!$F$14</x:f>
        <x:v>15-20</x:v>
      </x:c>
      <x:c r="J82" s="32" t="n">
        <x:f>Accessory_Config!$D$14</x:f>
        <x:v>4</x:v>
      </x:c>
      <x:c r="K82" s="32"/>
      <x:c r="L82" s="31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17"/>
      <x:c r="X82" s="36" t="str">
        <x:v>Band pull-apart</x:v>
      </x:c>
      <x:c r="Y82" s="35" t="str">
        <x:f>IF(L82="","",IF(AND(COUNT(M82,O82,Q82,S82,U82)&gt;=J82,MIN(M82,O82,Q82,IF(J82&gt;=4,S82,999),IF(J82&gt;=5,U82,999))&gt;=Accessory_Config!$F$14,MIN(N82,P82,R82,IF(J82&gt;=4,T82,999),IF(J82&gt;=5,V82,999))&gt;=2),L82+Accessory_Config!$H$14,L82))</x:f>
      </x:c>
    </x:row>
    <x:row r="83">
      <x:c r="A83" s="29" t="n">
        <x:v>1</x:v>
      </x:c>
      <x:c r="B83" s="29" t="n">
        <x:v>3</x:v>
      </x:c>
      <x:c r="C83" s="30"/>
      <x:c r="D83" s="27" t="str">
        <x:v>Thu</x:v>
      </x:c>
      <x:c r="E83" s="27" t="str">
        <x:v>Assist</x:v>
      </x:c>
      <x:c r="F83" s="27" t="str">
        <x:v>Accessory</x:v>
      </x:c>
      <x:c r="G83" s="27" t="str">
        <x:v>Technique squat</x:v>
      </x:c>
      <x:c r="H83" s="27" t="str">
        <x:f>Accessory_Config!$C$15</x:f>
        <x:v>Paused squat technique</x:v>
      </x:c>
      <x:c r="I83" s="27" t="str">
        <x:f>Accessory_Config!$E$15&amp;"-"&amp;Accessory_Config!$F$15</x:f>
        <x:v>3-3</x:v>
      </x:c>
      <x:c r="J83" s="32" t="n">
        <x:f>Accessory_Config!$D$15</x:f>
        <x:v>3</x:v>
      </x:c>
      <x:c r="K83" s="32"/>
      <x:c r="L83" s="31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17"/>
      <x:c r="X83" s="36" t="str">
        <x:v>Light crisp triples only; no grinding</x:v>
      </x:c>
      <x:c r="Y83" s="35" t="str">
        <x:f>IF(L83="","",IF(AND(COUNT(M83,O83,Q83,S83,U83)&gt;=J83,MIN(M83,O83,Q83,IF(J83&gt;=4,S83,999),IF(J83&gt;=5,U83,999))&gt;=Accessory_Config!$F$15,MIN(N83,P83,R83,IF(J83&gt;=4,T83,999),IF(J83&gt;=5,V83,999))&gt;=2),L83+Accessory_Config!$H$15,L83))</x:f>
      </x:c>
    </x:row>
    <x:row r="84">
      <x:c r="A84" s="29" t="n">
        <x:v>1</x:v>
      </x:c>
      <x:c r="B84" s="29" t="n">
        <x:v>3</x:v>
      </x:c>
      <x:c r="C84" s="30"/>
      <x:c r="D84" s="27" t="str">
        <x:v>Thu</x:v>
      </x:c>
      <x:c r="E84" s="27" t="str">
        <x:v>Assist</x:v>
      </x:c>
      <x:c r="F84" s="27" t="str">
        <x:v>Accessory</x:v>
      </x:c>
      <x:c r="G84" s="27" t="str">
        <x:v>Upper back volume</x:v>
      </x:c>
      <x:c r="H84" s="27" t="str">
        <x:f>Accessory_Config!$C$16</x:f>
        <x:v>Chest-supported row</x:v>
      </x:c>
      <x:c r="I84" s="27" t="str">
        <x:f>Accessory_Config!$E$16&amp;"-"&amp;Accessory_Config!$F$16</x:f>
        <x:v>10-12</x:v>
      </x:c>
      <x:c r="J84" s="32" t="n">
        <x:f>Accessory_Config!$D$16</x:f>
        <x:v>4</x:v>
      </x:c>
      <x:c r="K84" s="32"/>
      <x:c r="L84" s="31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17"/>
      <x:c r="X84" s="36" t="str">
        <x:v>Seal row; DB row</x:v>
      </x:c>
      <x:c r="Y84" s="35" t="str">
        <x:f>IF(L84="","",IF(AND(COUNT(M84,O84,Q84,S84,U84)&gt;=J84,MIN(M84,O84,Q84,IF(J84&gt;=4,S84,999),IF(J84&gt;=5,U84,999))&gt;=Accessory_Config!$F$16,MIN(N84,P84,R84,IF(J84&gt;=4,T84,999),IF(J84&gt;=5,V84,999))&gt;=2),L84+Accessory_Config!$H$16,L84))</x:f>
      </x:c>
    </x:row>
    <x:row r="85">
      <x:c r="A85" s="29" t="n">
        <x:v>1</x:v>
      </x:c>
      <x:c r="B85" s="29" t="n">
        <x:v>3</x:v>
      </x:c>
      <x:c r="C85" s="30"/>
      <x:c r="D85" s="27" t="str">
        <x:v>Thu</x:v>
      </x:c>
      <x:c r="E85" s="27" t="str">
        <x:v>Assist</x:v>
      </x:c>
      <x:c r="F85" s="27" t="str">
        <x:v>Accessory</x:v>
      </x:c>
      <x:c r="G85" s="27" t="str">
        <x:v>Lat volume</x:v>
      </x:c>
      <x:c r="H85" s="27" t="str">
        <x:f>Accessory_Config!$C$17</x:f>
        <x:v>Neutral-grip lat pulldown</x:v>
      </x:c>
      <x:c r="I85" s="27" t="str">
        <x:f>Accessory_Config!$E$17&amp;"-"&amp;Accessory_Config!$F$17</x:f>
        <x:v>10-12</x:v>
      </x:c>
      <x:c r="J85" s="32" t="n">
        <x:f>Accessory_Config!$D$17</x:f>
        <x:v>3</x:v>
      </x:c>
      <x:c r="K85" s="32"/>
      <x:c r="L85" s="31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17"/>
      <x:c r="X85" s="36" t="str">
        <x:v>Assisted pull-up</x:v>
      </x:c>
      <x:c r="Y85" s="35" t="str">
        <x:f>IF(L85="","",IF(AND(COUNT(M85,O85,Q85,S85,U85)&gt;=J85,MIN(M85,O85,Q85,IF(J85&gt;=4,S85,999),IF(J85&gt;=5,U85,999))&gt;=Accessory_Config!$F$17,MIN(N85,P85,R85,IF(J85&gt;=4,T85,999),IF(J85&gt;=5,V85,999))&gt;=2),L85+Accessory_Config!$H$17,L85))</x:f>
      </x:c>
    </x:row>
    <x:row r="86">
      <x:c r="A86" s="29" t="n">
        <x:v>1</x:v>
      </x:c>
      <x:c r="B86" s="29" t="n">
        <x:v>3</x:v>
      </x:c>
      <x:c r="C86" s="30"/>
      <x:c r="D86" s="27" t="str">
        <x:v>Thu</x:v>
      </x:c>
      <x:c r="E86" s="27" t="str">
        <x:v>Assist</x:v>
      </x:c>
      <x:c r="F86" s="27" t="str">
        <x:v>Accessory</x:v>
      </x:c>
      <x:c r="G86" s="27" t="str">
        <x:v>Shoulder-safe press</x:v>
      </x:c>
      <x:c r="H86" s="27" t="str">
        <x:f>Accessory_Config!$C$18</x:f>
        <x:v>DB floor press</x:v>
      </x:c>
      <x:c r="I86" s="27" t="str">
        <x:f>Accessory_Config!$E$18&amp;"-"&amp;Accessory_Config!$F$18</x:f>
        <x:v>8-12</x:v>
      </x:c>
      <x:c r="J86" s="32" t="n">
        <x:f>Accessory_Config!$D$18</x:f>
        <x:v>3</x:v>
      </x:c>
      <x:c r="K86" s="32"/>
      <x:c r="L86" s="31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17"/>
      <x:c r="X86" s="36" t="str">
        <x:v>Optional if shoulder is calm; Push-up handles; Machine press</x:v>
      </x:c>
      <x:c r="Y86" s="35" t="str">
        <x:f>IF(L86="","",IF(AND(COUNT(M86,O86,Q86,S86,U86)&gt;=J86,MIN(M86,O86,Q86,IF(J86&gt;=4,S86,999),IF(J86&gt;=5,U86,999))&gt;=Accessory_Config!$F$18,MIN(N86,P86,R86,IF(J86&gt;=4,T86,999),IF(J86&gt;=5,V86,999))&gt;=2),L86+Accessory_Config!$H$18,L86))</x:f>
      </x:c>
    </x:row>
    <x:row r="87">
      <x:c r="A87" s="29" t="n">
        <x:v>1</x:v>
      </x:c>
      <x:c r="B87" s="29" t="n">
        <x:v>3</x:v>
      </x:c>
      <x:c r="C87" s="30"/>
      <x:c r="D87" s="27" t="str">
        <x:v>Thu</x:v>
      </x:c>
      <x:c r="E87" s="27" t="str">
        <x:v>Assist</x:v>
      </x:c>
      <x:c r="F87" s="27" t="str">
        <x:v>Accessory</x:v>
      </x:c>
      <x:c r="G87" s="27" t="str">
        <x:v>Prehab + core</x:v>
      </x:c>
      <x:c r="H87" s="27" t="str">
        <x:f>Accessory_Config!$C$19</x:f>
        <x:v>Face pulls + band external rotation</x:v>
      </x:c>
      <x:c r="I87" s="27" t="str">
        <x:f>Accessory_Config!$E$19&amp;"-"&amp;Accessory_Config!$F$19</x:f>
        <x:v>15-20</x:v>
      </x:c>
      <x:c r="J87" s="32" t="n">
        <x:f>Accessory_Config!$D$19</x:f>
        <x:v>3</x:v>
      </x:c>
      <x:c r="K87" s="32"/>
      <x:c r="L87" s="31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17"/>
      <x:c r="X87" s="36" t="str">
        <x:v>Band pull-apart; Plank</x:v>
      </x:c>
      <x:c r="Y87" s="35" t="str">
        <x:f>IF(L87="","",IF(AND(COUNT(M87,O87,Q87,S87,U87)&gt;=J87,MIN(M87,O87,Q87,IF(J87&gt;=4,S87,999),IF(J87&gt;=5,U87,999))&gt;=Accessory_Config!$F$19,MIN(N87,P87,R87,IF(J87&gt;=4,T87,999),IF(J87&gt;=5,V87,999))&gt;=2),L87+Accessory_Config!$H$19,L87))</x:f>
      </x:c>
    </x:row>
    <x:row r="88">
      <x:c r="A88" s="28" t="n">
        <x:v>1</x:v>
      </x:c>
      <x:c r="B88" s="28" t="n">
        <x:v>3</x:v>
      </x:c>
      <x:c r="C88" s="30"/>
      <x:c r="D88" s="16" t="str">
        <x:v>Fri</x:v>
      </x:c>
      <x:c r="E88" s="16" t="str">
        <x:v>Deadlift</x:v>
      </x:c>
      <x:c r="F88" s="16" t="str">
        <x:v>Main</x:v>
      </x:c>
      <x:c r="G88" s="16" t="str">
        <x:v>Set 1</x:v>
      </x:c>
      <x:c r="H88" s="16" t="str">
        <x:v>Deadlift</x:v>
      </x:c>
      <x:c r="I88" s="16" t="str">
        <x:v>5</x:v>
      </x:c>
      <x:c r="J88" s="19" t="n">
        <x:v>1</x:v>
      </x:c>
      <x:c r="K88" s="19" t="n">
        <x:f>ROUND(INDEX(Setup!$G$11:$G$13,MATCH(E88,Setup!$A$11:$A$13,0))*0.75/Setup!$B$4,0)*Setup!$B$4</x:f>
        <x:v>142.5</x:v>
      </x:c>
      <x:c r="L88" s="31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17"/>
      <x:c r="X88" s="36" t="str"/>
      <x:c r="Y88" s="35"/>
    </x:row>
    <x:row r="89">
      <x:c r="A89" s="28" t="n">
        <x:v>1</x:v>
      </x:c>
      <x:c r="B89" s="28" t="n">
        <x:v>3</x:v>
      </x:c>
      <x:c r="C89" s="30"/>
      <x:c r="D89" s="16" t="str">
        <x:v>Fri</x:v>
      </x:c>
      <x:c r="E89" s="16" t="str">
        <x:v>Deadlift</x:v>
      </x:c>
      <x:c r="F89" s="16" t="str">
        <x:v>Main</x:v>
      </x:c>
      <x:c r="G89" s="16" t="str">
        <x:v>Set 2</x:v>
      </x:c>
      <x:c r="H89" s="16" t="str">
        <x:v>Deadlift</x:v>
      </x:c>
      <x:c r="I89" s="16" t="str">
        <x:v>3</x:v>
      </x:c>
      <x:c r="J89" s="19" t="n">
        <x:v>1</x:v>
      </x:c>
      <x:c r="K89" s="19" t="n">
        <x:f>ROUND(INDEX(Setup!$G$11:$G$13,MATCH(E89,Setup!$A$11:$A$13,0))*0.85/Setup!$B$4,0)*Setup!$B$4</x:f>
        <x:v>162.5</x:v>
      </x:c>
      <x:c r="L89" s="31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17"/>
      <x:c r="X89" s="36" t="str"/>
      <x:c r="Y89" s="35"/>
    </x:row>
    <x:row r="90">
      <x:c r="A90" s="28" t="n">
        <x:v>1</x:v>
      </x:c>
      <x:c r="B90" s="28" t="n">
        <x:v>3</x:v>
      </x:c>
      <x:c r="C90" s="30"/>
      <x:c r="D90" s="16" t="str">
        <x:v>Fri</x:v>
      </x:c>
      <x:c r="E90" s="16" t="str">
        <x:v>Deadlift</x:v>
      </x:c>
      <x:c r="F90" s="16" t="str">
        <x:v>Main</x:v>
      </x:c>
      <x:c r="G90" s="16" t="str">
        <x:v>Top set</x:v>
      </x:c>
      <x:c r="H90" s="16" t="str">
        <x:v>Deadlift</x:v>
      </x:c>
      <x:c r="I90" s="16" t="str">
        <x:v>1+</x:v>
      </x:c>
      <x:c r="J90" s="19" t="n">
        <x:v>1</x:v>
      </x:c>
      <x:c r="K90" s="19" t="n">
        <x:f>ROUND(INDEX(Setup!$G$11:$G$13,MATCH(E90,Setup!$A$11:$A$13,0))*0.95/Setup!$B$4,0)*Setup!$B$4</x:f>
        <x:v>180</x:v>
      </x:c>
      <x:c r="L90" s="31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17"/>
      <x:c r="X90" s="36" t="str">
        <x:v>Cap at RPE 8 / 2+ RIR.</x:v>
      </x:c>
      <x:c r="Y90" s="35"/>
    </x:row>
    <x:row r="91">
      <x:c r="A91" s="28" t="n">
        <x:v>1</x:v>
      </x:c>
      <x:c r="B91" s="28" t="n">
        <x:v>3</x:v>
      </x:c>
      <x:c r="C91" s="30"/>
      <x:c r="D91" s="16" t="str">
        <x:v>Fri</x:v>
      </x:c>
      <x:c r="E91" s="16" t="str">
        <x:v>Deadlift</x:v>
      </x:c>
      <x:c r="F91" s="16" t="str">
        <x:v>FSL</x:v>
      </x:c>
      <x:c r="G91" s="16" t="str">
        <x:v>First set last</x:v>
      </x:c>
      <x:c r="H91" s="16" t="str">
        <x:v>Deadlift</x:v>
      </x:c>
      <x:c r="I91" s="16" t="str">
        <x:v>5</x:v>
      </x:c>
      <x:c r="J91" s="19" t="n">
        <x:v>4</x:v>
      </x:c>
      <x:c r="K91" s="19" t="n">
        <x:f>ROUND(INDEX(Setup!$G$11:$G$13,MATCH(E91,Setup!$A$11:$A$13,0))*0.65/Setup!$B$4,0)*Setup!$B$4</x:f>
        <x:v>122.5</x:v>
      </x:c>
      <x:c r="L91" s="31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17"/>
      <x:c r="X91" s="36" t="str">
        <x:v>Same weight each set; cut volume if bar speed slows.</x:v>
      </x:c>
      <x:c r="Y91" s="35"/>
    </x:row>
    <x:row r="92">
      <x:c r="A92" s="29" t="n">
        <x:v>1</x:v>
      </x:c>
      <x:c r="B92" s="29" t="n">
        <x:v>3</x:v>
      </x:c>
      <x:c r="C92" s="30"/>
      <x:c r="D92" s="27" t="str">
        <x:v>Fri</x:v>
      </x:c>
      <x:c r="E92" s="27" t="str">
        <x:v>Deadlift</x:v>
      </x:c>
      <x:c r="F92" s="27" t="str">
        <x:v>Accessory</x:v>
      </x:c>
      <x:c r="G92" s="27" t="str">
        <x:v>Posterior chain</x:v>
      </x:c>
      <x:c r="H92" s="27" t="str">
        <x:f>Accessory_Config!$C$20</x:f>
        <x:v>Romanian deadlift</x:v>
      </x:c>
      <x:c r="I92" s="27" t="str">
        <x:f>Accessory_Config!$E$20&amp;"-"&amp;Accessory_Config!$F$20</x:f>
        <x:v>8-10</x:v>
      </x:c>
      <x:c r="J92" s="32" t="n">
        <x:f>Accessory_Config!$D$20</x:f>
        <x:v>3</x:v>
      </x:c>
      <x:c r="K92" s="32"/>
      <x:c r="L92" s="31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17"/>
      <x:c r="X92" s="36" t="str">
        <x:v>Back extension; Hip thrust</x:v>
      </x:c>
      <x:c r="Y92" s="35" t="str">
        <x:f>IF(L92="","",IF(AND(COUNT(M92,O92,Q92,S92,U92)&gt;=J92,MIN(M92,O92,Q92,IF(J92&gt;=4,S92,999),IF(J92&gt;=5,U92,999))&gt;=Accessory_Config!$F$20,MIN(N92,P92,R92,IF(J92&gt;=4,T92,999),IF(J92&gt;=5,V92,999))&gt;=2),L92+Accessory_Config!$H$20,L92))</x:f>
      </x:c>
    </x:row>
    <x:row r="93">
      <x:c r="A93" s="29" t="n">
        <x:v>1</x:v>
      </x:c>
      <x:c r="B93" s="29" t="n">
        <x:v>3</x:v>
      </x:c>
      <x:c r="C93" s="30"/>
      <x:c r="D93" s="27" t="str">
        <x:v>Fri</x:v>
      </x:c>
      <x:c r="E93" s="27" t="str">
        <x:v>Deadlift</x:v>
      </x:c>
      <x:c r="F93" s="27" t="str">
        <x:v>Accessory</x:v>
      </x:c>
      <x:c r="G93" s="27" t="str">
        <x:v>Back extension</x:v>
      </x:c>
      <x:c r="H93" s="27" t="str">
        <x:f>Accessory_Config!$C$21</x:f>
        <x:v>45 degree back extension</x:v>
      </x:c>
      <x:c r="I93" s="27" t="str">
        <x:f>Accessory_Config!$E$21&amp;"-"&amp;Accessory_Config!$F$21</x:f>
        <x:v>12-15</x:v>
      </x:c>
      <x:c r="J93" s="32" t="n">
        <x:f>Accessory_Config!$D$21</x:f>
        <x:v>3</x:v>
      </x:c>
      <x:c r="K93" s="32"/>
      <x:c r="L93" s="31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17"/>
      <x:c r="X93" s="36" t="str">
        <x:v>Hip thrust</x:v>
      </x:c>
      <x:c r="Y93" s="35" t="str">
        <x:f>IF(L93="","",IF(AND(COUNT(M93,O93,Q93,S93,U93)&gt;=J93,MIN(M93,O93,Q93,IF(J93&gt;=4,S93,999),IF(J93&gt;=5,U93,999))&gt;=Accessory_Config!$F$21,MIN(N93,P93,R93,IF(J93&gt;=4,T93,999),IF(J93&gt;=5,V93,999))&gt;=2),L93+Accessory_Config!$H$21,L93))</x:f>
      </x:c>
    </x:row>
    <x:row r="94">
      <x:c r="A94" s="29" t="n">
        <x:v>1</x:v>
      </x:c>
      <x:c r="B94" s="29" t="n">
        <x:v>3</x:v>
      </x:c>
      <x:c r="C94" s="30"/>
      <x:c r="D94" s="27" t="str">
        <x:v>Fri</x:v>
      </x:c>
      <x:c r="E94" s="27" t="str">
        <x:v>Deadlift</x:v>
      </x:c>
      <x:c r="F94" s="27" t="str">
        <x:v>Accessory</x:v>
      </x:c>
      <x:c r="G94" s="27" t="str">
        <x:v>Row</x:v>
      </x:c>
      <x:c r="H94" s="27" t="str">
        <x:f>Accessory_Config!$C$22</x:f>
        <x:v>DB row</x:v>
      </x:c>
      <x:c r="I94" s="27" t="str">
        <x:f>Accessory_Config!$E$22&amp;"-"&amp;Accessory_Config!$F$22</x:f>
        <x:v>10-10</x:v>
      </x:c>
      <x:c r="J94" s="32" t="n">
        <x:f>Accessory_Config!$D$22</x:f>
        <x:v>3</x:v>
      </x:c>
      <x:c r="K94" s="32"/>
      <x:c r="L94" s="31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17"/>
      <x:c r="X94" s="36" t="str">
        <x:v>Chest-supported row; Seal row</x:v>
      </x:c>
      <x:c r="Y94" s="35" t="str">
        <x:f>IF(L94="","",IF(AND(COUNT(M94,O94,Q94,S94,U94)&gt;=J94,MIN(M94,O94,Q94,IF(J94&gt;=4,S94,999),IF(J94&gt;=5,U94,999))&gt;=Accessory_Config!$F$22,MIN(N94,P94,R94,IF(J94&gt;=4,T94,999),IF(J94&gt;=5,V94,999))&gt;=2),L94+Accessory_Config!$H$22,L94))</x:f>
      </x:c>
    </x:row>
    <x:row r="95">
      <x:c r="A95" s="29" t="n">
        <x:v>1</x:v>
      </x:c>
      <x:c r="B95" s="29" t="n">
        <x:v>3</x:v>
      </x:c>
      <x:c r="C95" s="30"/>
      <x:c r="D95" s="27" t="str">
        <x:v>Fri</x:v>
      </x:c>
      <x:c r="E95" s="27" t="str">
        <x:v>Deadlift</x:v>
      </x:c>
      <x:c r="F95" s="27" t="str">
        <x:v>Accessory</x:v>
      </x:c>
      <x:c r="G95" s="27" t="str">
        <x:v>Core</x:v>
      </x:c>
      <x:c r="H95" s="27" t="str">
        <x:f>Accessory_Config!$C$23</x:f>
        <x:v>Cable crunch</x:v>
      </x:c>
      <x:c r="I95" s="27" t="str">
        <x:f>Accessory_Config!$E$23&amp;"-"&amp;Accessory_Config!$F$23</x:f>
        <x:v>10-15</x:v>
      </x:c>
      <x:c r="J95" s="32" t="n">
        <x:f>Accessory_Config!$D$23</x:f>
        <x:v>3</x:v>
      </x:c>
      <x:c r="K95" s="32"/>
      <x:c r="L95" s="31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17"/>
      <x:c r="X95" s="36" t="str">
        <x:v>Plank; Ab wheel</x:v>
      </x:c>
      <x:c r="Y95" s="35" t="str">
        <x:f>IF(L95="","",IF(AND(COUNT(M95,O95,Q95,S95,U95)&gt;=J95,MIN(M95,O95,Q95,IF(J95&gt;=4,S95,999),IF(J95&gt;=5,U95,999))&gt;=Accessory_Config!$F$23,MIN(N95,P95,R95,IF(J95&gt;=4,T95,999),IF(J95&gt;=5,V95,999))&gt;=2),L95+Accessory_Config!$H$23,L95))</x:f>
      </x:c>
    </x:row>
    <x:row r="96">
      <x:c r="A96" s="28" t="n">
        <x:v>1</x:v>
      </x:c>
      <x:c r="B96" s="28" t="n">
        <x:v>4</x:v>
      </x:c>
      <x:c r="C96" s="30"/>
      <x:c r="D96" s="16" t="str">
        <x:v>Mon</x:v>
      </x:c>
      <x:c r="E96" s="16" t="str">
        <x:v>Squat</x:v>
      </x:c>
      <x:c r="F96" s="16" t="str">
        <x:v>Main</x:v>
      </x:c>
      <x:c r="G96" s="16" t="str">
        <x:v>Set 1</x:v>
      </x:c>
      <x:c r="H96" s="16" t="str">
        <x:v>Squat</x:v>
      </x:c>
      <x:c r="I96" s="16" t="str">
        <x:v>5</x:v>
      </x:c>
      <x:c r="J96" s="19" t="n">
        <x:v>1</x:v>
      </x:c>
      <x:c r="K96" s="19" t="n">
        <x:f>ROUND(INDEX(Setup!$G$11:$G$13,MATCH(E96,Setup!$A$11:$A$13,0))*0.4/Setup!$B$4,0)*Setup!$B$4</x:f>
        <x:v>40</x:v>
      </x:c>
      <x:c r="L96" s="31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17"/>
      <x:c r="X96" s="36" t="str"/>
      <x:c r="Y96" s="35"/>
    </x:row>
    <x:row r="97">
      <x:c r="A97" s="28" t="n">
        <x:v>1</x:v>
      </x:c>
      <x:c r="B97" s="28" t="n">
        <x:v>4</x:v>
      </x:c>
      <x:c r="C97" s="30"/>
      <x:c r="D97" s="16" t="str">
        <x:v>Mon</x:v>
      </x:c>
      <x:c r="E97" s="16" t="str">
        <x:v>Squat</x:v>
      </x:c>
      <x:c r="F97" s="16" t="str">
        <x:v>Main</x:v>
      </x:c>
      <x:c r="G97" s="16" t="str">
        <x:v>Set 2</x:v>
      </x:c>
      <x:c r="H97" s="16" t="str">
        <x:v>Squat</x:v>
      </x:c>
      <x:c r="I97" s="16" t="str">
        <x:v>5</x:v>
      </x:c>
      <x:c r="J97" s="19" t="n">
        <x:v>1</x:v>
      </x:c>
      <x:c r="K97" s="19" t="n">
        <x:f>ROUND(INDEX(Setup!$G$11:$G$13,MATCH(E97,Setup!$A$11:$A$13,0))*0.5/Setup!$B$4,0)*Setup!$B$4</x:f>
        <x:v>52.5</x:v>
      </x:c>
      <x:c r="L97" s="31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17"/>
      <x:c r="X97" s="36" t="str"/>
      <x:c r="Y97" s="35"/>
    </x:row>
    <x:row r="98">
      <x:c r="A98" s="28" t="n">
        <x:v>1</x:v>
      </x:c>
      <x:c r="B98" s="28" t="n">
        <x:v>4</x:v>
      </x:c>
      <x:c r="C98" s="30"/>
      <x:c r="D98" s="16" t="str">
        <x:v>Mon</x:v>
      </x:c>
      <x:c r="E98" s="16" t="str">
        <x:v>Squat</x:v>
      </x:c>
      <x:c r="F98" s="16" t="str">
        <x:v>Main</x:v>
      </x:c>
      <x:c r="G98" s="16" t="str">
        <x:v>Set 3</x:v>
      </x:c>
      <x:c r="H98" s="16" t="str">
        <x:v>Squat</x:v>
      </x:c>
      <x:c r="I98" s="16" t="str">
        <x:v>5</x:v>
      </x:c>
      <x:c r="J98" s="19" t="n">
        <x:v>1</x:v>
      </x:c>
      <x:c r="K98" s="19" t="n">
        <x:f>ROUND(INDEX(Setup!$G$11:$G$13,MATCH(E98,Setup!$A$11:$A$13,0))*0.6/Setup!$B$4,0)*Setup!$B$4</x:f>
        <x:v>62.5</x:v>
      </x:c>
      <x:c r="L98" s="31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17"/>
      <x:c r="X98" s="36" t="str"/>
      <x:c r="Y98" s="35"/>
    </x:row>
    <x:row r="99">
      <x:c r="A99" s="29" t="n">
        <x:v>1</x:v>
      </x:c>
      <x:c r="B99" s="29" t="n">
        <x:v>4</x:v>
      </x:c>
      <x:c r="C99" s="30"/>
      <x:c r="D99" s="27" t="str">
        <x:v>Mon</x:v>
      </x:c>
      <x:c r="E99" s="27" t="str">
        <x:v>Squat</x:v>
      </x:c>
      <x:c r="F99" s="27" t="str">
        <x:v>Accessory</x:v>
      </x:c>
      <x:c r="G99" s="27" t="str">
        <x:v>Quad volume</x:v>
      </x:c>
      <x:c r="H99" s="27" t="str">
        <x:f>Accessory_Config!$C$6</x:f>
        <x:v>Leg press</x:v>
      </x:c>
      <x:c r="I99" s="27" t="str">
        <x:f>Accessory_Config!$E$6&amp;"-"&amp;Accessory_Config!$F$6</x:f>
        <x:v>10-12</x:v>
      </x:c>
      <x:c r="J99" s="32" t="n">
        <x:f>Accessory_Config!$D$6</x:f>
        <x:v>3</x:v>
      </x:c>
      <x:c r="K99" s="32"/>
      <x:c r="L99" s="31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17"/>
      <x:c r="X99" s="36" t="str">
        <x:v>Bulgarian split squat; Hack squat</x:v>
      </x:c>
      <x:c r="Y99" s="35" t="str">
        <x:f>IF(L99="","",IF(AND(COUNT(M99,O99,Q99,S99,U99)&gt;=J99,MIN(M99,O99,Q99,IF(J99&gt;=4,S99,999),IF(J99&gt;=5,U99,999))&gt;=Accessory_Config!$F$6,MIN(N99,P99,R99,IF(J99&gt;=4,T99,999),IF(J99&gt;=5,V99,999))&gt;=2),L99+Accessory_Config!$H$6,L99))</x:f>
      </x:c>
    </x:row>
    <x:row r="100">
      <x:c r="A100" s="29" t="n">
        <x:v>1</x:v>
      </x:c>
      <x:c r="B100" s="29" t="n">
        <x:v>4</x:v>
      </x:c>
      <x:c r="C100" s="30"/>
      <x:c r="D100" s="27" t="str">
        <x:v>Mon</x:v>
      </x:c>
      <x:c r="E100" s="27" t="str">
        <x:v>Squat</x:v>
      </x:c>
      <x:c r="F100" s="27" t="str">
        <x:v>Accessory</x:v>
      </x:c>
      <x:c r="G100" s="27" t="str">
        <x:v>Hamstring support</x:v>
      </x:c>
      <x:c r="H100" s="27" t="str">
        <x:f>Accessory_Config!$C$7</x:f>
        <x:v>Lying / seated leg curl</x:v>
      </x:c>
      <x:c r="I100" s="27" t="str">
        <x:f>Accessory_Config!$E$7&amp;"-"&amp;Accessory_Config!$F$7</x:f>
        <x:v>12-15</x:v>
      </x:c>
      <x:c r="J100" s="32" t="n">
        <x:f>Accessory_Config!$D$7</x:f>
        <x:v>3</x:v>
      </x:c>
      <x:c r="K100" s="32"/>
      <x:c r="L100" s="31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17"/>
      <x:c r="X100" s="36" t="str">
        <x:v>Assisted Nordic curl</x:v>
      </x:c>
      <x:c r="Y100" s="35" t="str">
        <x:f>IF(L100="","",IF(AND(COUNT(M100,O100,Q100,S100,U100)&gt;=J100,MIN(M100,O100,Q100,IF(J100&gt;=4,S100,999),IF(J100&gt;=5,U100,999))&gt;=Accessory_Config!$F$7,MIN(N100,P100,R100,IF(J100&gt;=4,T100,999),IF(J100&gt;=5,V100,999))&gt;=2),L100+Accessory_Config!$H$7,L100))</x:f>
      </x:c>
    </x:row>
    <x:row r="101">
      <x:c r="A101" s="29" t="n">
        <x:v>1</x:v>
      </x:c>
      <x:c r="B101" s="29" t="n">
        <x:v>4</x:v>
      </x:c>
      <x:c r="C101" s="30"/>
      <x:c r="D101" s="27" t="str">
        <x:v>Mon</x:v>
      </x:c>
      <x:c r="E101" s="27" t="str">
        <x:v>Squat</x:v>
      </x:c>
      <x:c r="F101" s="27" t="str">
        <x:v>Accessory</x:v>
      </x:c>
      <x:c r="G101" s="27" t="str">
        <x:v>Pressing support</x:v>
      </x:c>
      <x:c r="H101" s="27" t="str">
        <x:f>Accessory_Config!$C$8</x:f>
        <x:v>Triceps pushdown</x:v>
      </x:c>
      <x:c r="I101" s="27" t="str">
        <x:f>Accessory_Config!$E$8&amp;"-"&amp;Accessory_Config!$F$8</x:f>
        <x:v>12-15</x:v>
      </x:c>
      <x:c r="J101" s="32" t="n">
        <x:f>Accessory_Config!$D$8</x:f>
        <x:v>3</x:v>
      </x:c>
      <x:c r="K101" s="32"/>
      <x:c r="L101" s="31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17"/>
      <x:c r="X101" s="36" t="str">
        <x:v>Rope overhead extension if shoulder calm</x:v>
      </x:c>
      <x:c r="Y101" s="35" t="str">
        <x:f>IF(L101="","",IF(AND(COUNT(M101,O101,Q101,S101,U101)&gt;=J101,MIN(M101,O101,Q101,IF(J101&gt;=4,S101,999),IF(J101&gt;=5,U101,999))&gt;=Accessory_Config!$F$8,MIN(N101,P101,R101,IF(J101&gt;=4,T101,999),IF(J101&gt;=5,V101,999))&gt;=2),L101+Accessory_Config!$H$8,L101))</x:f>
      </x:c>
    </x:row>
    <x:row r="102">
      <x:c r="A102" s="29" t="n">
        <x:v>1</x:v>
      </x:c>
      <x:c r="B102" s="29" t="n">
        <x:v>4</x:v>
      </x:c>
      <x:c r="C102" s="30"/>
      <x:c r="D102" s="27" t="str">
        <x:v>Mon</x:v>
      </x:c>
      <x:c r="E102" s="27" t="str">
        <x:v>Squat</x:v>
      </x:c>
      <x:c r="F102" s="27" t="str">
        <x:v>Accessory</x:v>
      </x:c>
      <x:c r="G102" s="27" t="str">
        <x:v>Core</x:v>
      </x:c>
      <x:c r="H102" s="27" t="str">
        <x:f>Accessory_Config!$C$9</x:f>
        <x:v>Hanging leg raise</x:v>
      </x:c>
      <x:c r="I102" s="27" t="str">
        <x:f>Accessory_Config!$E$9&amp;"-"&amp;Accessory_Config!$F$9</x:f>
        <x:v>10-15</x:v>
      </x:c>
      <x:c r="J102" s="32" t="n">
        <x:f>Accessory_Config!$D$9</x:f>
        <x:v>3</x:v>
      </x:c>
      <x:c r="K102" s="32"/>
      <x:c r="L102" s="31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17"/>
      <x:c r="X102" s="36" t="str">
        <x:v>Ab wheel; Plank</x:v>
      </x:c>
      <x:c r="Y102" s="35" t="str">
        <x:f>IF(L102="","",IF(AND(COUNT(M102,O102,Q102,S102,U102)&gt;=J102,MIN(M102,O102,Q102,IF(J102&gt;=4,S102,999),IF(J102&gt;=5,U102,999))&gt;=Accessory_Config!$F$9,MIN(N102,P102,R102,IF(J102&gt;=4,T102,999),IF(J102&gt;=5,V102,999))&gt;=2),L102+Accessory_Config!$H$9,L102))</x:f>
      </x:c>
    </x:row>
    <x:row r="103">
      <x:c r="A103" s="28" t="n">
        <x:v>1</x:v>
      </x:c>
      <x:c r="B103" s="28" t="n">
        <x:v>4</x:v>
      </x:c>
      <x:c r="C103" s="30"/>
      <x:c r="D103" s="16" t="str">
        <x:v>Wed</x:v>
      </x:c>
      <x:c r="E103" s="16" t="str">
        <x:v>Bench</x:v>
      </x:c>
      <x:c r="F103" s="16" t="str">
        <x:v>Main</x:v>
      </x:c>
      <x:c r="G103" s="16" t="str">
        <x:v>Set 1</x:v>
      </x:c>
      <x:c r="H103" s="16" t="str">
        <x:v>Bench</x:v>
      </x:c>
      <x:c r="I103" s="16" t="str">
        <x:v>5</x:v>
      </x:c>
      <x:c r="J103" s="19" t="n">
        <x:v>1</x:v>
      </x:c>
      <x:c r="K103" s="19" t="n">
        <x:f>ROUND(INDEX(Setup!$G$11:$G$13,MATCH(E103,Setup!$A$11:$A$13,0))*0.4/Setup!$B$4,0)*Setup!$B$4</x:f>
        <x:v>35</x:v>
      </x:c>
      <x:c r="L103" s="31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17"/>
      <x:c r="X103" s="36" t="str"/>
      <x:c r="Y103" s="35"/>
    </x:row>
    <x:row r="104">
      <x:c r="A104" s="28" t="n">
        <x:v>1</x:v>
      </x:c>
      <x:c r="B104" s="28" t="n">
        <x:v>4</x:v>
      </x:c>
      <x:c r="C104" s="30"/>
      <x:c r="D104" s="16" t="str">
        <x:v>Wed</x:v>
      </x:c>
      <x:c r="E104" s="16" t="str">
        <x:v>Bench</x:v>
      </x:c>
      <x:c r="F104" s="16" t="str">
        <x:v>Main</x:v>
      </x:c>
      <x:c r="G104" s="16" t="str">
        <x:v>Set 2</x:v>
      </x:c>
      <x:c r="H104" s="16" t="str">
        <x:v>Bench</x:v>
      </x:c>
      <x:c r="I104" s="16" t="str">
        <x:v>5</x:v>
      </x:c>
      <x:c r="J104" s="19" t="n">
        <x:v>1</x:v>
      </x:c>
      <x:c r="K104" s="19" t="n">
        <x:f>ROUND(INDEX(Setup!$G$11:$G$13,MATCH(E104,Setup!$A$11:$A$13,0))*0.5/Setup!$B$4,0)*Setup!$B$4</x:f>
        <x:v>42.5</x:v>
      </x:c>
      <x:c r="L104" s="31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17"/>
      <x:c r="X104" s="36" t="str"/>
      <x:c r="Y104" s="35"/>
    </x:row>
    <x:row r="105">
      <x:c r="A105" s="28" t="n">
        <x:v>1</x:v>
      </x:c>
      <x:c r="B105" s="28" t="n">
        <x:v>4</x:v>
      </x:c>
      <x:c r="C105" s="30"/>
      <x:c r="D105" s="16" t="str">
        <x:v>Wed</x:v>
      </x:c>
      <x:c r="E105" s="16" t="str">
        <x:v>Bench</x:v>
      </x:c>
      <x:c r="F105" s="16" t="str">
        <x:v>Main</x:v>
      </x:c>
      <x:c r="G105" s="16" t="str">
        <x:v>Set 3</x:v>
      </x:c>
      <x:c r="H105" s="16" t="str">
        <x:v>Bench</x:v>
      </x:c>
      <x:c r="I105" s="16" t="str">
        <x:v>5</x:v>
      </x:c>
      <x:c r="J105" s="19" t="n">
        <x:v>1</x:v>
      </x:c>
      <x:c r="K105" s="19" t="n">
        <x:f>ROUND(INDEX(Setup!$G$11:$G$13,MATCH(E105,Setup!$A$11:$A$13,0))*0.6/Setup!$B$4,0)*Setup!$B$4</x:f>
        <x:v>50</x:v>
      </x:c>
      <x:c r="L105" s="31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17"/>
      <x:c r="X105" s="36" t="str"/>
      <x:c r="Y105" s="35"/>
    </x:row>
    <x:row r="106">
      <x:c r="A106" s="29" t="n">
        <x:v>1</x:v>
      </x:c>
      <x:c r="B106" s="29" t="n">
        <x:v>4</x:v>
      </x:c>
      <x:c r="C106" s="30"/>
      <x:c r="D106" s="27" t="str">
        <x:v>Wed</x:v>
      </x:c>
      <x:c r="E106" s="27" t="str">
        <x:v>Bench</x:v>
      </x:c>
      <x:c r="F106" s="27" t="str">
        <x:v>Accessory</x:v>
      </x:c>
      <x:c r="G106" s="27" t="str">
        <x:v>Heavy row</x:v>
      </x:c>
      <x:c r="H106" s="27" t="str">
        <x:f>Accessory_Config!$C$10</x:f>
        <x:v>Chest-supported row</x:v>
      </x:c>
      <x:c r="I106" s="27" t="str">
        <x:f>Accessory_Config!$E$10&amp;"-"&amp;Accessory_Config!$F$10</x:f>
        <x:v>8-12</x:v>
      </x:c>
      <x:c r="J106" s="32" t="n">
        <x:f>Accessory_Config!$D$10</x:f>
        <x:v>4</x:v>
      </x:c>
      <x:c r="K106" s="32"/>
      <x:c r="L106" s="31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17"/>
      <x:c r="X106" s="36" t="str">
        <x:v>Seal row; DB row</x:v>
      </x:c>
      <x:c r="Y106" s="35" t="str">
        <x:f>IF(L106="","",IF(AND(COUNT(M106,O106,Q106,S106,U106)&gt;=J106,MIN(M106,O106,Q106,IF(J106&gt;=4,S106,999),IF(J106&gt;=5,U106,999))&gt;=Accessory_Config!$F$10,MIN(N106,P106,R106,IF(J106&gt;=4,T106,999),IF(J106&gt;=5,V106,999))&gt;=2),L106+Accessory_Config!$H$10,L106))</x:f>
      </x:c>
    </x:row>
    <x:row r="107">
      <x:c r="A107" s="29" t="n">
        <x:v>1</x:v>
      </x:c>
      <x:c r="B107" s="29" t="n">
        <x:v>4</x:v>
      </x:c>
      <x:c r="C107" s="30"/>
      <x:c r="D107" s="27" t="str">
        <x:v>Wed</x:v>
      </x:c>
      <x:c r="E107" s="27" t="str">
        <x:v>Bench</x:v>
      </x:c>
      <x:c r="F107" s="27" t="str">
        <x:v>Accessory</x:v>
      </x:c>
      <x:c r="G107" s="27" t="str">
        <x:v>Vertical pull</x:v>
      </x:c>
      <x:c r="H107" s="27" t="str">
        <x:f>Accessory_Config!$C$11</x:f>
        <x:v>Neutral-grip lat pulldown</x:v>
      </x:c>
      <x:c r="I107" s="27" t="str">
        <x:f>Accessory_Config!$E$11&amp;"-"&amp;Accessory_Config!$F$11</x:f>
        <x:v>10-12</x:v>
      </x:c>
      <x:c r="J107" s="32" t="n">
        <x:f>Accessory_Config!$D$11</x:f>
        <x:v>3</x:v>
      </x:c>
      <x:c r="K107" s="32"/>
      <x:c r="L107" s="31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17"/>
      <x:c r="X107" s="36" t="str">
        <x:v>Assisted pull-up</x:v>
      </x:c>
      <x:c r="Y107" s="35" t="str">
        <x:f>IF(L107="","",IF(AND(COUNT(M107,O107,Q107,S107,U107)&gt;=J107,MIN(M107,O107,Q107,IF(J107&gt;=4,S107,999),IF(J107&gt;=5,U107,999))&gt;=Accessory_Config!$F$11,MIN(N107,P107,R107,IF(J107&gt;=4,T107,999),IF(J107&gt;=5,V107,999))&gt;=2),L107+Accessory_Config!$H$11,L107))</x:f>
      </x:c>
    </x:row>
    <x:row r="108">
      <x:c r="A108" s="29" t="n">
        <x:v>1</x:v>
      </x:c>
      <x:c r="B108" s="29" t="n">
        <x:v>4</x:v>
      </x:c>
      <x:c r="C108" s="30"/>
      <x:c r="D108" s="27" t="str">
        <x:v>Wed</x:v>
      </x:c>
      <x:c r="E108" s="27" t="str">
        <x:v>Bench</x:v>
      </x:c>
      <x:c r="F108" s="27" t="str">
        <x:v>Accessory</x:v>
      </x:c>
      <x:c r="G108" s="27" t="str">
        <x:v>Optional press</x:v>
      </x:c>
      <x:c r="H108" s="27" t="str">
        <x:f>Accessory_Config!$C$12</x:f>
        <x:v>Incline DB press neutral grip</x:v>
      </x:c>
      <x:c r="I108" s="27" t="str">
        <x:f>Accessory_Config!$E$12&amp;"-"&amp;Accessory_Config!$F$12</x:f>
        <x:v>8-12</x:v>
      </x:c>
      <x:c r="J108" s="32" t="n">
        <x:f>Accessory_Config!$D$12</x:f>
        <x:v>3</x:v>
      </x:c>
      <x:c r="K108" s="32"/>
      <x:c r="L108" s="31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17"/>
      <x:c r="X108" s="36" t="str">
        <x:v>Only if pain-free; Machine press; Push-up handles</x:v>
      </x:c>
      <x:c r="Y108" s="35" t="str">
        <x:f>IF(L108="","",IF(AND(COUNT(M108,O108,Q108,S108,U108)&gt;=J108,MIN(M108,O108,Q108,IF(J108&gt;=4,S108,999),IF(J108&gt;=5,U108,999))&gt;=Accessory_Config!$F$12,MIN(N108,P108,R108,IF(J108&gt;=4,T108,999),IF(J108&gt;=5,V108,999))&gt;=2),L108+Accessory_Config!$H$12,L108))</x:f>
      </x:c>
    </x:row>
    <x:row r="109">
      <x:c r="A109" s="29" t="n">
        <x:v>1</x:v>
      </x:c>
      <x:c r="B109" s="29" t="n">
        <x:v>4</x:v>
      </x:c>
      <x:c r="C109" s="30"/>
      <x:c r="D109" s="27" t="str">
        <x:v>Wed</x:v>
      </x:c>
      <x:c r="E109" s="27" t="str">
        <x:v>Bench</x:v>
      </x:c>
      <x:c r="F109" s="27" t="str">
        <x:v>Accessory</x:v>
      </x:c>
      <x:c r="G109" s="27" t="str">
        <x:v>Arm balance</x:v>
      </x:c>
      <x:c r="H109" s="27" t="str">
        <x:f>Accessory_Config!$C$13</x:f>
        <x:v>DB hammer curl</x:v>
      </x:c>
      <x:c r="I109" s="27" t="str">
        <x:f>Accessory_Config!$E$13&amp;"-"&amp;Accessory_Config!$F$13</x:f>
        <x:v>12-12</x:v>
      </x:c>
      <x:c r="J109" s="32" t="n">
        <x:f>Accessory_Config!$D$13</x:f>
        <x:v>3</x:v>
      </x:c>
      <x:c r="K109" s="32"/>
      <x:c r="L109" s="31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17"/>
      <x:c r="X109" s="36" t="str">
        <x:v>Cable curl</x:v>
      </x:c>
      <x:c r="Y109" s="35" t="str">
        <x:f>IF(L109="","",IF(AND(COUNT(M109,O109,Q109,S109,U109)&gt;=J109,MIN(M109,O109,Q109,IF(J109&gt;=4,S109,999),IF(J109&gt;=5,U109,999))&gt;=Accessory_Config!$F$13,MIN(N109,P109,R109,IF(J109&gt;=4,T109,999),IF(J109&gt;=5,V109,999))&gt;=2),L109+Accessory_Config!$H$13,L109))</x:f>
      </x:c>
    </x:row>
    <x:row r="110">
      <x:c r="A110" s="29" t="n">
        <x:v>1</x:v>
      </x:c>
      <x:c r="B110" s="29" t="n">
        <x:v>4</x:v>
      </x:c>
      <x:c r="C110" s="30"/>
      <x:c r="D110" s="27" t="str">
        <x:v>Wed</x:v>
      </x:c>
      <x:c r="E110" s="27" t="str">
        <x:v>Bench</x:v>
      </x:c>
      <x:c r="F110" s="27" t="str">
        <x:v>Accessory</x:v>
      </x:c>
      <x:c r="G110" s="27" t="str">
        <x:v>Shoulder prehab</x:v>
      </x:c>
      <x:c r="H110" s="27" t="str">
        <x:f>Accessory_Config!$C$14</x:f>
        <x:v>Face pulls + band external rotation</x:v>
      </x:c>
      <x:c r="I110" s="27" t="str">
        <x:f>Accessory_Config!$E$14&amp;"-"&amp;Accessory_Config!$F$14</x:f>
        <x:v>15-20</x:v>
      </x:c>
      <x:c r="J110" s="32" t="n">
        <x:f>Accessory_Config!$D$14</x:f>
        <x:v>4</x:v>
      </x:c>
      <x:c r="K110" s="32"/>
      <x:c r="L110" s="31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17"/>
      <x:c r="X110" s="36" t="str">
        <x:v>Band pull-apart</x:v>
      </x:c>
      <x:c r="Y110" s="35" t="str">
        <x:f>IF(L110="","",IF(AND(COUNT(M110,O110,Q110,S110,U110)&gt;=J110,MIN(M110,O110,Q110,IF(J110&gt;=4,S110,999),IF(J110&gt;=5,U110,999))&gt;=Accessory_Config!$F$14,MIN(N110,P110,R110,IF(J110&gt;=4,T110,999),IF(J110&gt;=5,V110,999))&gt;=2),L110+Accessory_Config!$H$14,L110))</x:f>
      </x:c>
    </x:row>
    <x:row r="111">
      <x:c r="A111" s="29" t="n">
        <x:v>1</x:v>
      </x:c>
      <x:c r="B111" s="29" t="n">
        <x:v>4</x:v>
      </x:c>
      <x:c r="C111" s="30"/>
      <x:c r="D111" s="27" t="str">
        <x:v>Thu</x:v>
      </x:c>
      <x:c r="E111" s="27" t="str">
        <x:v>Assist</x:v>
      </x:c>
      <x:c r="F111" s="27" t="str">
        <x:v>Accessory</x:v>
      </x:c>
      <x:c r="G111" s="27" t="str">
        <x:v>Technique squat</x:v>
      </x:c>
      <x:c r="H111" s="27" t="str">
        <x:f>Accessory_Config!$C$15</x:f>
        <x:v>Paused squat technique</x:v>
      </x:c>
      <x:c r="I111" s="27" t="str">
        <x:f>Accessory_Config!$E$15&amp;"-"&amp;Accessory_Config!$F$15</x:f>
        <x:v>3-3</x:v>
      </x:c>
      <x:c r="J111" s="32" t="n">
        <x:f>Accessory_Config!$D$15</x:f>
        <x:v>3</x:v>
      </x:c>
      <x:c r="K111" s="32"/>
      <x:c r="L111" s="31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17"/>
      <x:c r="X111" s="36" t="str">
        <x:v>Light crisp triples only; no grinding</x:v>
      </x:c>
      <x:c r="Y111" s="35" t="str">
        <x:f>IF(L111="","",IF(AND(COUNT(M111,O111,Q111,S111,U111)&gt;=J111,MIN(M111,O111,Q111,IF(J111&gt;=4,S111,999),IF(J111&gt;=5,U111,999))&gt;=Accessory_Config!$F$15,MIN(N111,P111,R111,IF(J111&gt;=4,T111,999),IF(J111&gt;=5,V111,999))&gt;=2),L111+Accessory_Config!$H$15,L111))</x:f>
      </x:c>
    </x:row>
    <x:row r="112">
      <x:c r="A112" s="29" t="n">
        <x:v>1</x:v>
      </x:c>
      <x:c r="B112" s="29" t="n">
        <x:v>4</x:v>
      </x:c>
      <x:c r="C112" s="30"/>
      <x:c r="D112" s="27" t="str">
        <x:v>Thu</x:v>
      </x:c>
      <x:c r="E112" s="27" t="str">
        <x:v>Assist</x:v>
      </x:c>
      <x:c r="F112" s="27" t="str">
        <x:v>Accessory</x:v>
      </x:c>
      <x:c r="G112" s="27" t="str">
        <x:v>Upper back volume</x:v>
      </x:c>
      <x:c r="H112" s="27" t="str">
        <x:f>Accessory_Config!$C$16</x:f>
        <x:v>Chest-supported row</x:v>
      </x:c>
      <x:c r="I112" s="27" t="str">
        <x:f>Accessory_Config!$E$16&amp;"-"&amp;Accessory_Config!$F$16</x:f>
        <x:v>10-12</x:v>
      </x:c>
      <x:c r="J112" s="32" t="n">
        <x:f>Accessory_Config!$D$16</x:f>
        <x:v>4</x:v>
      </x:c>
      <x:c r="K112" s="32"/>
      <x:c r="L112" s="31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17"/>
      <x:c r="X112" s="36" t="str">
        <x:v>Seal row; DB row</x:v>
      </x:c>
      <x:c r="Y112" s="35" t="str">
        <x:f>IF(L112="","",IF(AND(COUNT(M112,O112,Q112,S112,U112)&gt;=J112,MIN(M112,O112,Q112,IF(J112&gt;=4,S112,999),IF(J112&gt;=5,U112,999))&gt;=Accessory_Config!$F$16,MIN(N112,P112,R112,IF(J112&gt;=4,T112,999),IF(J112&gt;=5,V112,999))&gt;=2),L112+Accessory_Config!$H$16,L112))</x:f>
      </x:c>
    </x:row>
    <x:row r="113">
      <x:c r="A113" s="29" t="n">
        <x:v>1</x:v>
      </x:c>
      <x:c r="B113" s="29" t="n">
        <x:v>4</x:v>
      </x:c>
      <x:c r="C113" s="30"/>
      <x:c r="D113" s="27" t="str">
        <x:v>Thu</x:v>
      </x:c>
      <x:c r="E113" s="27" t="str">
        <x:v>Assist</x:v>
      </x:c>
      <x:c r="F113" s="27" t="str">
        <x:v>Accessory</x:v>
      </x:c>
      <x:c r="G113" s="27" t="str">
        <x:v>Lat volume</x:v>
      </x:c>
      <x:c r="H113" s="27" t="str">
        <x:f>Accessory_Config!$C$17</x:f>
        <x:v>Neutral-grip lat pulldown</x:v>
      </x:c>
      <x:c r="I113" s="27" t="str">
        <x:f>Accessory_Config!$E$17&amp;"-"&amp;Accessory_Config!$F$17</x:f>
        <x:v>10-12</x:v>
      </x:c>
      <x:c r="J113" s="32" t="n">
        <x:f>Accessory_Config!$D$17</x:f>
        <x:v>3</x:v>
      </x:c>
      <x:c r="K113" s="32"/>
      <x:c r="L113" s="31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17"/>
      <x:c r="X113" s="36" t="str">
        <x:v>Assisted pull-up</x:v>
      </x:c>
      <x:c r="Y113" s="35" t="str">
        <x:f>IF(L113="","",IF(AND(COUNT(M113,O113,Q113,S113,U113)&gt;=J113,MIN(M113,O113,Q113,IF(J113&gt;=4,S113,999),IF(J113&gt;=5,U113,999))&gt;=Accessory_Config!$F$17,MIN(N113,P113,R113,IF(J113&gt;=4,T113,999),IF(J113&gt;=5,V113,999))&gt;=2),L113+Accessory_Config!$H$17,L113))</x:f>
      </x:c>
    </x:row>
    <x:row r="114">
      <x:c r="A114" s="29" t="n">
        <x:v>1</x:v>
      </x:c>
      <x:c r="B114" s="29" t="n">
        <x:v>4</x:v>
      </x:c>
      <x:c r="C114" s="30"/>
      <x:c r="D114" s="27" t="str">
        <x:v>Thu</x:v>
      </x:c>
      <x:c r="E114" s="27" t="str">
        <x:v>Assist</x:v>
      </x:c>
      <x:c r="F114" s="27" t="str">
        <x:v>Accessory</x:v>
      </x:c>
      <x:c r="G114" s="27" t="str">
        <x:v>Shoulder-safe press</x:v>
      </x:c>
      <x:c r="H114" s="27" t="str">
        <x:f>Accessory_Config!$C$18</x:f>
        <x:v>DB floor press</x:v>
      </x:c>
      <x:c r="I114" s="27" t="str">
        <x:f>Accessory_Config!$E$18&amp;"-"&amp;Accessory_Config!$F$18</x:f>
        <x:v>8-12</x:v>
      </x:c>
      <x:c r="J114" s="32" t="n">
        <x:f>Accessory_Config!$D$18</x:f>
        <x:v>3</x:v>
      </x:c>
      <x:c r="K114" s="32"/>
      <x:c r="L114" s="31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17"/>
      <x:c r="X114" s="36" t="str">
        <x:v>Optional if shoulder is calm; Push-up handles; Machine press</x:v>
      </x:c>
      <x:c r="Y114" s="35" t="str">
        <x:f>IF(L114="","",IF(AND(COUNT(M114,O114,Q114,S114,U114)&gt;=J114,MIN(M114,O114,Q114,IF(J114&gt;=4,S114,999),IF(J114&gt;=5,U114,999))&gt;=Accessory_Config!$F$18,MIN(N114,P114,R114,IF(J114&gt;=4,T114,999),IF(J114&gt;=5,V114,999))&gt;=2),L114+Accessory_Config!$H$18,L114))</x:f>
      </x:c>
    </x:row>
    <x:row r="115">
      <x:c r="A115" s="29" t="n">
        <x:v>1</x:v>
      </x:c>
      <x:c r="B115" s="29" t="n">
        <x:v>4</x:v>
      </x:c>
      <x:c r="C115" s="30"/>
      <x:c r="D115" s="27" t="str">
        <x:v>Thu</x:v>
      </x:c>
      <x:c r="E115" s="27" t="str">
        <x:v>Assist</x:v>
      </x:c>
      <x:c r="F115" s="27" t="str">
        <x:v>Accessory</x:v>
      </x:c>
      <x:c r="G115" s="27" t="str">
        <x:v>Prehab + core</x:v>
      </x:c>
      <x:c r="H115" s="27" t="str">
        <x:f>Accessory_Config!$C$19</x:f>
        <x:v>Face pulls + band external rotation</x:v>
      </x:c>
      <x:c r="I115" s="27" t="str">
        <x:f>Accessory_Config!$E$19&amp;"-"&amp;Accessory_Config!$F$19</x:f>
        <x:v>15-20</x:v>
      </x:c>
      <x:c r="J115" s="32" t="n">
        <x:f>Accessory_Config!$D$19</x:f>
        <x:v>3</x:v>
      </x:c>
      <x:c r="K115" s="32"/>
      <x:c r="L115" s="31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17"/>
      <x:c r="X115" s="36" t="str">
        <x:v>Band pull-apart; Plank</x:v>
      </x:c>
      <x:c r="Y115" s="35" t="str">
        <x:f>IF(L115="","",IF(AND(COUNT(M115,O115,Q115,S115,U115)&gt;=J115,MIN(M115,O115,Q115,IF(J115&gt;=4,S115,999),IF(J115&gt;=5,U115,999))&gt;=Accessory_Config!$F$19,MIN(N115,P115,R115,IF(J115&gt;=4,T115,999),IF(J115&gt;=5,V115,999))&gt;=2),L115+Accessory_Config!$H$19,L115))</x:f>
      </x:c>
    </x:row>
    <x:row r="116">
      <x:c r="A116" s="28" t="n">
        <x:v>1</x:v>
      </x:c>
      <x:c r="B116" s="28" t="n">
        <x:v>4</x:v>
      </x:c>
      <x:c r="C116" s="30"/>
      <x:c r="D116" s="16" t="str">
        <x:v>Fri</x:v>
      </x:c>
      <x:c r="E116" s="16" t="str">
        <x:v>Deadlift</x:v>
      </x:c>
      <x:c r="F116" s="16" t="str">
        <x:v>Main</x:v>
      </x:c>
      <x:c r="G116" s="16" t="str">
        <x:v>Set 1</x:v>
      </x:c>
      <x:c r="H116" s="16" t="str">
        <x:v>Deadlift</x:v>
      </x:c>
      <x:c r="I116" s="16" t="str">
        <x:v>5</x:v>
      </x:c>
      <x:c r="J116" s="19" t="n">
        <x:v>1</x:v>
      </x:c>
      <x:c r="K116" s="19" t="n">
        <x:f>ROUND(INDEX(Setup!$G$11:$G$13,MATCH(E116,Setup!$A$11:$A$13,0))*0.4/Setup!$B$4,0)*Setup!$B$4</x:f>
        <x:v>75</x:v>
      </x:c>
      <x:c r="L116" s="31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17"/>
      <x:c r="X116" s="36" t="str"/>
      <x:c r="Y116" s="35"/>
    </x:row>
    <x:row r="117">
      <x:c r="A117" s="28" t="n">
        <x:v>1</x:v>
      </x:c>
      <x:c r="B117" s="28" t="n">
        <x:v>4</x:v>
      </x:c>
      <x:c r="C117" s="30"/>
      <x:c r="D117" s="16" t="str">
        <x:v>Fri</x:v>
      </x:c>
      <x:c r="E117" s="16" t="str">
        <x:v>Deadlift</x:v>
      </x:c>
      <x:c r="F117" s="16" t="str">
        <x:v>Main</x:v>
      </x:c>
      <x:c r="G117" s="16" t="str">
        <x:v>Set 2</x:v>
      </x:c>
      <x:c r="H117" s="16" t="str">
        <x:v>Deadlift</x:v>
      </x:c>
      <x:c r="I117" s="16" t="str">
        <x:v>5</x:v>
      </x:c>
      <x:c r="J117" s="19" t="n">
        <x:v>1</x:v>
      </x:c>
      <x:c r="K117" s="19" t="n">
        <x:f>ROUND(INDEX(Setup!$G$11:$G$13,MATCH(E117,Setup!$A$11:$A$13,0))*0.5/Setup!$B$4,0)*Setup!$B$4</x:f>
        <x:v>95</x:v>
      </x:c>
      <x:c r="L117" s="31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17"/>
      <x:c r="X117" s="36" t="str"/>
      <x:c r="Y117" s="35"/>
    </x:row>
    <x:row r="118">
      <x:c r="A118" s="28" t="n">
        <x:v>1</x:v>
      </x:c>
      <x:c r="B118" s="28" t="n">
        <x:v>4</x:v>
      </x:c>
      <x:c r="C118" s="30"/>
      <x:c r="D118" s="16" t="str">
        <x:v>Fri</x:v>
      </x:c>
      <x:c r="E118" s="16" t="str">
        <x:v>Deadlift</x:v>
      </x:c>
      <x:c r="F118" s="16" t="str">
        <x:v>Main</x:v>
      </x:c>
      <x:c r="G118" s="16" t="str">
        <x:v>Set 3</x:v>
      </x:c>
      <x:c r="H118" s="16" t="str">
        <x:v>Deadlift</x:v>
      </x:c>
      <x:c r="I118" s="16" t="str">
        <x:v>5</x:v>
      </x:c>
      <x:c r="J118" s="19" t="n">
        <x:v>1</x:v>
      </x:c>
      <x:c r="K118" s="19" t="n">
        <x:f>ROUND(INDEX(Setup!$G$11:$G$13,MATCH(E118,Setup!$A$11:$A$13,0))*0.6/Setup!$B$4,0)*Setup!$B$4</x:f>
        <x:v>115</x:v>
      </x:c>
      <x:c r="L118" s="31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17"/>
      <x:c r="X118" s="36" t="str"/>
      <x:c r="Y118" s="35"/>
    </x:row>
    <x:row r="119">
      <x:c r="A119" s="29" t="n">
        <x:v>1</x:v>
      </x:c>
      <x:c r="B119" s="29" t="n">
        <x:v>4</x:v>
      </x:c>
      <x:c r="C119" s="30"/>
      <x:c r="D119" s="27" t="str">
        <x:v>Fri</x:v>
      </x:c>
      <x:c r="E119" s="27" t="str">
        <x:v>Deadlift</x:v>
      </x:c>
      <x:c r="F119" s="27" t="str">
        <x:v>Accessory</x:v>
      </x:c>
      <x:c r="G119" s="27" t="str">
        <x:v>Posterior chain</x:v>
      </x:c>
      <x:c r="H119" s="27" t="str">
        <x:f>Accessory_Config!$C$20</x:f>
        <x:v>Romanian deadlift</x:v>
      </x:c>
      <x:c r="I119" s="27" t="str">
        <x:f>Accessory_Config!$E$20&amp;"-"&amp;Accessory_Config!$F$20</x:f>
        <x:v>8-10</x:v>
      </x:c>
      <x:c r="J119" s="32" t="n">
        <x:f>Accessory_Config!$D$20</x:f>
        <x:v>3</x:v>
      </x:c>
      <x:c r="K119" s="32"/>
      <x:c r="L119" s="31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17"/>
      <x:c r="X119" s="36" t="str">
        <x:v>Back extension; Hip thrust</x:v>
      </x:c>
      <x:c r="Y119" s="35" t="str">
        <x:f>IF(L119="","",IF(AND(COUNT(M119,O119,Q119,S119,U119)&gt;=J119,MIN(M119,O119,Q119,IF(J119&gt;=4,S119,999),IF(J119&gt;=5,U119,999))&gt;=Accessory_Config!$F$20,MIN(N119,P119,R119,IF(J119&gt;=4,T119,999),IF(J119&gt;=5,V119,999))&gt;=2),L119+Accessory_Config!$H$20,L119))</x:f>
      </x:c>
    </x:row>
    <x:row r="120">
      <x:c r="A120" s="29" t="n">
        <x:v>1</x:v>
      </x:c>
      <x:c r="B120" s="29" t="n">
        <x:v>4</x:v>
      </x:c>
      <x:c r="C120" s="30"/>
      <x:c r="D120" s="27" t="str">
        <x:v>Fri</x:v>
      </x:c>
      <x:c r="E120" s="27" t="str">
        <x:v>Deadlift</x:v>
      </x:c>
      <x:c r="F120" s="27" t="str">
        <x:v>Accessory</x:v>
      </x:c>
      <x:c r="G120" s="27" t="str">
        <x:v>Back extension</x:v>
      </x:c>
      <x:c r="H120" s="27" t="str">
        <x:f>Accessory_Config!$C$21</x:f>
        <x:v>45 degree back extension</x:v>
      </x:c>
      <x:c r="I120" s="27" t="str">
        <x:f>Accessory_Config!$E$21&amp;"-"&amp;Accessory_Config!$F$21</x:f>
        <x:v>12-15</x:v>
      </x:c>
      <x:c r="J120" s="32" t="n">
        <x:f>Accessory_Config!$D$21</x:f>
        <x:v>3</x:v>
      </x:c>
      <x:c r="K120" s="32"/>
      <x:c r="L120" s="31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17"/>
      <x:c r="X120" s="36" t="str">
        <x:v>Hip thrust</x:v>
      </x:c>
      <x:c r="Y120" s="35" t="str">
        <x:f>IF(L120="","",IF(AND(COUNT(M120,O120,Q120,S120,U120)&gt;=J120,MIN(M120,O120,Q120,IF(J120&gt;=4,S120,999),IF(J120&gt;=5,U120,999))&gt;=Accessory_Config!$F$21,MIN(N120,P120,R120,IF(J120&gt;=4,T120,999),IF(J120&gt;=5,V120,999))&gt;=2),L120+Accessory_Config!$H$21,L120))</x:f>
      </x:c>
    </x:row>
    <x:row r="121">
      <x:c r="A121" s="29" t="n">
        <x:v>1</x:v>
      </x:c>
      <x:c r="B121" s="29" t="n">
        <x:v>4</x:v>
      </x:c>
      <x:c r="C121" s="30"/>
      <x:c r="D121" s="27" t="str">
        <x:v>Fri</x:v>
      </x:c>
      <x:c r="E121" s="27" t="str">
        <x:v>Deadlift</x:v>
      </x:c>
      <x:c r="F121" s="27" t="str">
        <x:v>Accessory</x:v>
      </x:c>
      <x:c r="G121" s="27" t="str">
        <x:v>Row</x:v>
      </x:c>
      <x:c r="H121" s="27" t="str">
        <x:f>Accessory_Config!$C$22</x:f>
        <x:v>DB row</x:v>
      </x:c>
      <x:c r="I121" s="27" t="str">
        <x:f>Accessory_Config!$E$22&amp;"-"&amp;Accessory_Config!$F$22</x:f>
        <x:v>10-10</x:v>
      </x:c>
      <x:c r="J121" s="32" t="n">
        <x:f>Accessory_Config!$D$22</x:f>
        <x:v>3</x:v>
      </x:c>
      <x:c r="K121" s="32"/>
      <x:c r="L121" s="31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17"/>
      <x:c r="X121" s="36" t="str">
        <x:v>Chest-supported row; Seal row</x:v>
      </x:c>
      <x:c r="Y121" s="35" t="str">
        <x:f>IF(L121="","",IF(AND(COUNT(M121,O121,Q121,S121,U121)&gt;=J121,MIN(M121,O121,Q121,IF(J121&gt;=4,S121,999),IF(J121&gt;=5,U121,999))&gt;=Accessory_Config!$F$22,MIN(N121,P121,R121,IF(J121&gt;=4,T121,999),IF(J121&gt;=5,V121,999))&gt;=2),L121+Accessory_Config!$H$22,L121))</x:f>
      </x:c>
    </x:row>
    <x:row r="122">
      <x:c r="A122" s="29" t="n">
        <x:v>1</x:v>
      </x:c>
      <x:c r="B122" s="29" t="n">
        <x:v>4</x:v>
      </x:c>
      <x:c r="C122" s="30"/>
      <x:c r="D122" s="27" t="str">
        <x:v>Fri</x:v>
      </x:c>
      <x:c r="E122" s="27" t="str">
        <x:v>Deadlift</x:v>
      </x:c>
      <x:c r="F122" s="27" t="str">
        <x:v>Accessory</x:v>
      </x:c>
      <x:c r="G122" s="27" t="str">
        <x:v>Core</x:v>
      </x:c>
      <x:c r="H122" s="27" t="str">
        <x:f>Accessory_Config!$C$23</x:f>
        <x:v>Cable crunch</x:v>
      </x:c>
      <x:c r="I122" s="27" t="str">
        <x:f>Accessory_Config!$E$23&amp;"-"&amp;Accessory_Config!$F$23</x:f>
        <x:v>10-15</x:v>
      </x:c>
      <x:c r="J122" s="32" t="n">
        <x:f>Accessory_Config!$D$23</x:f>
        <x:v>3</x:v>
      </x:c>
      <x:c r="K122" s="32"/>
      <x:c r="L122" s="31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17"/>
      <x:c r="X122" s="36" t="str">
        <x:v>Plank; Ab wheel</x:v>
      </x:c>
      <x:c r="Y122" s="35" t="str">
        <x:f>IF(L122="","",IF(AND(COUNT(M122,O122,Q122,S122,U122)&gt;=J122,MIN(M122,O122,Q122,IF(J122&gt;=4,S122,999),IF(J122&gt;=5,U122,999))&gt;=Accessory_Config!$F$23,MIN(N122,P122,R122,IF(J122&gt;=4,T122,999),IF(J122&gt;=5,V122,999))&gt;=2),L122+Accessory_Config!$H$23,L122))</x:f>
      </x:c>
    </x:row>
  </x:sheetData>
  <x:mergeCells>
    <x:mergeCell ref="A1:Y1"/>
    <x:mergeCell ref="A3:Y3"/>
    <x:mergeCell ref="A4:K4"/>
    <x:mergeCell ref="L4:X4"/>
  </x:mergeCells>
  <x:dataValidations count="1">
    <x:dataValidation type="list" sqref="W6:W122">
      <x:formula1>"Done,Skipped"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5749ae13f846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8.130000114440918" hidden="0" customWidth="1"/>
    <x:col min="3" max="3" width="8.130000114440918" hidden="0" customWidth="1"/>
    <x:col min="4" max="4" width="8.130000114440918" hidden="0" customWidth="1"/>
    <x:col min="5" max="5" width="11" hidden="0" customWidth="1"/>
    <x:col min="6" max="6" width="11" hidden="0" customWidth="1"/>
    <x:col min="7" max="7" width="18.1299991607666" hidden="0" customWidth="1"/>
    <x:col min="8" max="8" width="26.25" hidden="0" customWidth="1"/>
    <x:col min="9" max="9" width="11" hidden="0" customWidth="1"/>
    <x:col min="10" max="10" width="11" hidden="0" customWidth="1"/>
    <x:col min="11" max="11" width="10.630000114440918" hidden="0" customWidth="1"/>
    <x:col min="12" max="12" width="9.380000114440918" hidden="0" customWidth="1"/>
    <x:col min="13" max="13" width="10.630000114440918" hidden="0" customWidth="1"/>
    <x:col min="14" max="14" width="32.5" hidden="0" customWidth="1"/>
  </x:cols>
  <x:sheetData>
    <x:row r="1" ht="25.5" customHeight="1">
      <x:c r="A1" s="3" t="str">
        <x:v>Completed History</x:v>
      </x:c>
      <x:c r="B1" s="3" t="str">
        <x:v>Completed History</x:v>
      </x:c>
      <x:c r="C1" s="3" t="str">
        <x:v>Completed History</x:v>
      </x:c>
      <x:c r="D1" s="3" t="str">
        <x:v>Completed History</x:v>
      </x:c>
      <x:c r="E1" s="3" t="str">
        <x:v>Completed History</x:v>
      </x:c>
      <x:c r="F1" s="3" t="str">
        <x:v>Completed History</x:v>
      </x:c>
      <x:c r="G1" s="3" t="str">
        <x:v>Completed History</x:v>
      </x:c>
      <x:c r="H1" s="3" t="str">
        <x:v>Completed History</x:v>
      </x:c>
      <x:c r="I1" s="3" t="str">
        <x:v>Completed History</x:v>
      </x:c>
      <x:c r="J1" s="3" t="str">
        <x:v>Completed History</x:v>
      </x:c>
      <x:c r="K1" s="3" t="str">
        <x:v>Completed History</x:v>
      </x:c>
      <x:c r="L1" s="3" t="str">
        <x:v>Completed History</x:v>
      </x:c>
      <x:c r="M1" s="3" t="str">
        <x:v>Completed History</x:v>
      </x:c>
      <x:c r="N1" s="3" t="str">
        <x:v>Completed History</x:v>
      </x:c>
    </x:row>
    <x:row r="3">
      <x:c r="A3" s="22" t="str">
        <x:v>This sheet mirrors Weekly_View rows where Status is filled. Use Weekly_View as the input surface; this tab is for filtering completed/skipped history.</x:v>
      </x:c>
      <x:c r="B3" s="22" t="str">
        <x:v>This sheet mirrors Weekly_View rows where Status is filled. Use Weekly_View as the input surface; this tab is for filtering completed/skipped history.</x:v>
      </x:c>
      <x:c r="C3" s="22" t="str">
        <x:v>This sheet mirrors Weekly_View rows where Status is filled. Use Weekly_View as the input surface; this tab is for filtering completed/skipped history.</x:v>
      </x:c>
      <x:c r="D3" s="22" t="str">
        <x:v>This sheet mirrors Weekly_View rows where Status is filled. Use Weekly_View as the input surface; this tab is for filtering completed/skipped history.</x:v>
      </x:c>
      <x:c r="E3" s="22" t="str">
        <x:v>This sheet mirrors Weekly_View rows where Status is filled. Use Weekly_View as the input surface; this tab is for filtering completed/skipped history.</x:v>
      </x:c>
      <x:c r="F3" s="22" t="str">
        <x:v>This sheet mirrors Weekly_View rows where Status is filled. Use Weekly_View as the input surface; this tab is for filtering completed/skipped history.</x:v>
      </x:c>
      <x:c r="G3" s="22" t="str">
        <x:v>This sheet mirrors Weekly_View rows where Status is filled. Use Weekly_View as the input surface; this tab is for filtering completed/skipped history.</x:v>
      </x:c>
      <x:c r="H3" s="22" t="str">
        <x:v>This sheet mirrors Weekly_View rows where Status is filled. Use Weekly_View as the input surface; this tab is for filtering completed/skipped history.</x:v>
      </x:c>
      <x:c r="I3" s="22" t="str">
        <x:v>This sheet mirrors Weekly_View rows where Status is filled. Use Weekly_View as the input surface; this tab is for filtering completed/skipped history.</x:v>
      </x:c>
      <x:c r="J3" s="22" t="str">
        <x:v>This sheet mirrors Weekly_View rows where Status is filled. Use Weekly_View as the input surface; this tab is for filtering completed/skipped history.</x:v>
      </x:c>
      <x:c r="K3" s="22" t="str">
        <x:v>This sheet mirrors Weekly_View rows where Status is filled. Use Weekly_View as the input surface; this tab is for filtering completed/skipped history.</x:v>
      </x:c>
      <x:c r="L3" s="22" t="str">
        <x:v>This sheet mirrors Weekly_View rows where Status is filled. Use Weekly_View as the input surface; this tab is for filtering completed/skipped history.</x:v>
      </x:c>
      <x:c r="M3" s="22" t="str">
        <x:v>This sheet mirrors Weekly_View rows where Status is filled. Use Weekly_View as the input surface; this tab is for filtering completed/skipped history.</x:v>
      </x:c>
      <x:c r="N3" s="22" t="str">
        <x:v>This sheet mirrors Weekly_View rows where Status is filled. Use Weekly_View as the input surface; this tab is for filtering completed/skipped history.</x:v>
      </x:c>
    </x:row>
    <x:row r="5">
      <x:c r="A5" s="13" t="str">
        <x:v>Date</x:v>
      </x:c>
      <x:c r="B5" s="13" t="str">
        <x:v>Cycle</x:v>
      </x:c>
      <x:c r="C5" s="13" t="str">
        <x:v>Week</x:v>
      </x:c>
      <x:c r="D5" s="13" t="str">
        <x:v>Day</x:v>
      </x:c>
      <x:c r="E5" s="13" t="str">
        <x:v>Session</x:v>
      </x:c>
      <x:c r="F5" s="13" t="str">
        <x:v>Block</x:v>
      </x:c>
      <x:c r="G5" s="13" t="str">
        <x:v>Item</x:v>
      </x:c>
      <x:c r="H5" s="13" t="str">
        <x:v>Exercise</x:v>
      </x:c>
      <x:c r="I5" s="13" t="str">
        <x:v>Planned Wt</x:v>
      </x:c>
      <x:c r="J5" s="13" t="str">
        <x:v>Actual Wt</x:v>
      </x:c>
      <x:c r="K5" s="13" t="str">
        <x:v>Total Reps</x:v>
      </x:c>
      <x:c r="L5" s="13" t="str">
        <x:v>Avg RIR</x:v>
      </x:c>
      <x:c r="M5" s="13" t="str">
        <x:v>Status</x:v>
      </x:c>
      <x:c r="N5" s="13" t="str">
        <x:v>Notes</x:v>
      </x:c>
    </x:row>
    <x:row r="6">
      <x:c r="A6" s="37" t="str">
        <x:f>IF(Weekly_View!$W6="","",Weekly_View!$C6)</x:f>
      </x:c>
      <x:c r="B6" s="16" t="str">
        <x:f>IF(Weekly_View!$W6="","",Weekly_View!$A6)</x:f>
      </x:c>
      <x:c r="C6" s="16" t="str">
        <x:f>IF(Weekly_View!$W6="","",Weekly_View!$B6)</x:f>
      </x:c>
      <x:c r="D6" s="16" t="str">
        <x:f>IF(Weekly_View!$W6="","",Weekly_View!$D6)</x:f>
      </x:c>
      <x:c r="E6" s="16" t="str">
        <x:f>IF(Weekly_View!$W6="","",Weekly_View!$E6)</x:f>
      </x:c>
      <x:c r="F6" s="16" t="str">
        <x:f>IF(Weekly_View!$W6="","",Weekly_View!$F6)</x:f>
      </x:c>
      <x:c r="G6" s="16" t="str">
        <x:f>IF(Weekly_View!$W6="","",Weekly_View!$G6)</x:f>
      </x:c>
      <x:c r="H6" s="16" t="str">
        <x:f>IF(Weekly_View!$W6="","",Weekly_View!$H6)</x:f>
      </x:c>
      <x:c r="I6" s="19" t="str">
        <x:f>IF(Weekly_View!$W6="","",Weekly_View!$K6)</x:f>
      </x:c>
      <x:c r="J6" s="19" t="str">
        <x:f>IF(Weekly_View!$W6="","",Weekly_View!$L6)</x:f>
      </x:c>
      <x:c r="K6" s="19" t="str">
        <x:f>IF(Weekly_View!$W6="","",SUM(Weekly_View!$M6,Weekly_View!$O6,Weekly_View!$Q6,Weekly_View!$S6,Weekly_View!$U6))</x:f>
      </x:c>
      <x:c r="L6" s="19" t="str">
        <x:f>IF(Weekly_View!$W6="","",IFERROR(AVERAGE(Weekly_View!$N6,Weekly_View!$P6,Weekly_View!$R6,Weekly_View!$T6,Weekly_View!$V6),""))</x:f>
      </x:c>
      <x:c r="M6" s="16" t="str">
        <x:f>IF(Weekly_View!$W6="","",Weekly_View!$W6)</x:f>
      </x:c>
      <x:c r="N6" s="16" t="str">
        <x:f>IF(Weekly_View!$W6="","",Weekly_View!$X6)</x:f>
      </x:c>
    </x:row>
    <x:row r="7">
      <x:c r="A7" s="37" t="str">
        <x:f>IF(Weekly_View!$W7="","",Weekly_View!$C7)</x:f>
      </x:c>
      <x:c r="B7" s="16" t="str">
        <x:f>IF(Weekly_View!$W7="","",Weekly_View!$A7)</x:f>
      </x:c>
      <x:c r="C7" s="16" t="str">
        <x:f>IF(Weekly_View!$W7="","",Weekly_View!$B7)</x:f>
      </x:c>
      <x:c r="D7" s="16" t="str">
        <x:f>IF(Weekly_View!$W7="","",Weekly_View!$D7)</x:f>
      </x:c>
      <x:c r="E7" s="16" t="str">
        <x:f>IF(Weekly_View!$W7="","",Weekly_View!$E7)</x:f>
      </x:c>
      <x:c r="F7" s="16" t="str">
        <x:f>IF(Weekly_View!$W7="","",Weekly_View!$F7)</x:f>
      </x:c>
      <x:c r="G7" s="16" t="str">
        <x:f>IF(Weekly_View!$W7="","",Weekly_View!$G7)</x:f>
      </x:c>
      <x:c r="H7" s="16" t="str">
        <x:f>IF(Weekly_View!$W7="","",Weekly_View!$H7)</x:f>
      </x:c>
      <x:c r="I7" s="19" t="str">
        <x:f>IF(Weekly_View!$W7="","",Weekly_View!$K7)</x:f>
      </x:c>
      <x:c r="J7" s="19" t="str">
        <x:f>IF(Weekly_View!$W7="","",Weekly_View!$L7)</x:f>
      </x:c>
      <x:c r="K7" s="19" t="str">
        <x:f>IF(Weekly_View!$W7="","",SUM(Weekly_View!$M7,Weekly_View!$O7,Weekly_View!$Q7,Weekly_View!$S7,Weekly_View!$U7))</x:f>
      </x:c>
      <x:c r="L7" s="19" t="str">
        <x:f>IF(Weekly_View!$W7="","",IFERROR(AVERAGE(Weekly_View!$N7,Weekly_View!$P7,Weekly_View!$R7,Weekly_View!$T7,Weekly_View!$V7),""))</x:f>
      </x:c>
      <x:c r="M7" s="16" t="str">
        <x:f>IF(Weekly_View!$W7="","",Weekly_View!$W7)</x:f>
      </x:c>
      <x:c r="N7" s="16" t="str">
        <x:f>IF(Weekly_View!$W7="","",Weekly_View!$X7)</x:f>
      </x:c>
    </x:row>
    <x:row r="8">
      <x:c r="A8" s="37" t="str">
        <x:f>IF(Weekly_View!$W8="","",Weekly_View!$C8)</x:f>
      </x:c>
      <x:c r="B8" s="16" t="str">
        <x:f>IF(Weekly_View!$W8="","",Weekly_View!$A8)</x:f>
      </x:c>
      <x:c r="C8" s="16" t="str">
        <x:f>IF(Weekly_View!$W8="","",Weekly_View!$B8)</x:f>
      </x:c>
      <x:c r="D8" s="16" t="str">
        <x:f>IF(Weekly_View!$W8="","",Weekly_View!$D8)</x:f>
      </x:c>
      <x:c r="E8" s="16" t="str">
        <x:f>IF(Weekly_View!$W8="","",Weekly_View!$E8)</x:f>
      </x:c>
      <x:c r="F8" s="16" t="str">
        <x:f>IF(Weekly_View!$W8="","",Weekly_View!$F8)</x:f>
      </x:c>
      <x:c r="G8" s="16" t="str">
        <x:f>IF(Weekly_View!$W8="","",Weekly_View!$G8)</x:f>
      </x:c>
      <x:c r="H8" s="16" t="str">
        <x:f>IF(Weekly_View!$W8="","",Weekly_View!$H8)</x:f>
      </x:c>
      <x:c r="I8" s="19" t="str">
        <x:f>IF(Weekly_View!$W8="","",Weekly_View!$K8)</x:f>
      </x:c>
      <x:c r="J8" s="19" t="str">
        <x:f>IF(Weekly_View!$W8="","",Weekly_View!$L8)</x:f>
      </x:c>
      <x:c r="K8" s="19" t="str">
        <x:f>IF(Weekly_View!$W8="","",SUM(Weekly_View!$M8,Weekly_View!$O8,Weekly_View!$Q8,Weekly_View!$S8,Weekly_View!$U8))</x:f>
      </x:c>
      <x:c r="L8" s="19" t="str">
        <x:f>IF(Weekly_View!$W8="","",IFERROR(AVERAGE(Weekly_View!$N8,Weekly_View!$P8,Weekly_View!$R8,Weekly_View!$T8,Weekly_View!$V8),""))</x:f>
      </x:c>
      <x:c r="M8" s="16" t="str">
        <x:f>IF(Weekly_View!$W8="","",Weekly_View!$W8)</x:f>
      </x:c>
      <x:c r="N8" s="16" t="str">
        <x:f>IF(Weekly_View!$W8="","",Weekly_View!$X8)</x:f>
      </x:c>
    </x:row>
    <x:row r="9">
      <x:c r="A9" s="37" t="str">
        <x:f>IF(Weekly_View!$W9="","",Weekly_View!$C9)</x:f>
      </x:c>
      <x:c r="B9" s="16" t="str">
        <x:f>IF(Weekly_View!$W9="","",Weekly_View!$A9)</x:f>
      </x:c>
      <x:c r="C9" s="16" t="str">
        <x:f>IF(Weekly_View!$W9="","",Weekly_View!$B9)</x:f>
      </x:c>
      <x:c r="D9" s="16" t="str">
        <x:f>IF(Weekly_View!$W9="","",Weekly_View!$D9)</x:f>
      </x:c>
      <x:c r="E9" s="16" t="str">
        <x:f>IF(Weekly_View!$W9="","",Weekly_View!$E9)</x:f>
      </x:c>
      <x:c r="F9" s="16" t="str">
        <x:f>IF(Weekly_View!$W9="","",Weekly_View!$F9)</x:f>
      </x:c>
      <x:c r="G9" s="16" t="str">
        <x:f>IF(Weekly_View!$W9="","",Weekly_View!$G9)</x:f>
      </x:c>
      <x:c r="H9" s="16" t="str">
        <x:f>IF(Weekly_View!$W9="","",Weekly_View!$H9)</x:f>
      </x:c>
      <x:c r="I9" s="19" t="str">
        <x:f>IF(Weekly_View!$W9="","",Weekly_View!$K9)</x:f>
      </x:c>
      <x:c r="J9" s="19" t="str">
        <x:f>IF(Weekly_View!$W9="","",Weekly_View!$L9)</x:f>
      </x:c>
      <x:c r="K9" s="19" t="str">
        <x:f>IF(Weekly_View!$W9="","",SUM(Weekly_View!$M9,Weekly_View!$O9,Weekly_View!$Q9,Weekly_View!$S9,Weekly_View!$U9))</x:f>
      </x:c>
      <x:c r="L9" s="19" t="str">
        <x:f>IF(Weekly_View!$W9="","",IFERROR(AVERAGE(Weekly_View!$N9,Weekly_View!$P9,Weekly_View!$R9,Weekly_View!$T9,Weekly_View!$V9),""))</x:f>
      </x:c>
      <x:c r="M9" s="16" t="str">
        <x:f>IF(Weekly_View!$W9="","",Weekly_View!$W9)</x:f>
      </x:c>
      <x:c r="N9" s="16" t="str">
        <x:f>IF(Weekly_View!$W9="","",Weekly_View!$X9)</x:f>
      </x:c>
    </x:row>
    <x:row r="10">
      <x:c r="A10" s="37" t="str">
        <x:f>IF(Weekly_View!$W10="","",Weekly_View!$C10)</x:f>
      </x:c>
      <x:c r="B10" s="16" t="str">
        <x:f>IF(Weekly_View!$W10="","",Weekly_View!$A10)</x:f>
      </x:c>
      <x:c r="C10" s="16" t="str">
        <x:f>IF(Weekly_View!$W10="","",Weekly_View!$B10)</x:f>
      </x:c>
      <x:c r="D10" s="16" t="str">
        <x:f>IF(Weekly_View!$W10="","",Weekly_View!$D10)</x:f>
      </x:c>
      <x:c r="E10" s="16" t="str">
        <x:f>IF(Weekly_View!$W10="","",Weekly_View!$E10)</x:f>
      </x:c>
      <x:c r="F10" s="16" t="str">
        <x:f>IF(Weekly_View!$W10="","",Weekly_View!$F10)</x:f>
      </x:c>
      <x:c r="G10" s="16" t="str">
        <x:f>IF(Weekly_View!$W10="","",Weekly_View!$G10)</x:f>
      </x:c>
      <x:c r="H10" s="16" t="str">
        <x:f>IF(Weekly_View!$W10="","",Weekly_View!$H10)</x:f>
      </x:c>
      <x:c r="I10" s="19" t="str">
        <x:f>IF(Weekly_View!$W10="","",Weekly_View!$K10)</x:f>
      </x:c>
      <x:c r="J10" s="19" t="str">
        <x:f>IF(Weekly_View!$W10="","",Weekly_View!$L10)</x:f>
      </x:c>
      <x:c r="K10" s="19" t="str">
        <x:f>IF(Weekly_View!$W10="","",SUM(Weekly_View!$M10,Weekly_View!$O10,Weekly_View!$Q10,Weekly_View!$S10,Weekly_View!$U10))</x:f>
      </x:c>
      <x:c r="L10" s="19" t="str">
        <x:f>IF(Weekly_View!$W10="","",IFERROR(AVERAGE(Weekly_View!$N10,Weekly_View!$P10,Weekly_View!$R10,Weekly_View!$T10,Weekly_View!$V10),""))</x:f>
      </x:c>
      <x:c r="M10" s="16" t="str">
        <x:f>IF(Weekly_View!$W10="","",Weekly_View!$W10)</x:f>
      </x:c>
      <x:c r="N10" s="16" t="str">
        <x:f>IF(Weekly_View!$W10="","",Weekly_View!$X10)</x:f>
      </x:c>
    </x:row>
    <x:row r="11">
      <x:c r="A11" s="37" t="str">
        <x:f>IF(Weekly_View!$W11="","",Weekly_View!$C11)</x:f>
      </x:c>
      <x:c r="B11" s="16" t="str">
        <x:f>IF(Weekly_View!$W11="","",Weekly_View!$A11)</x:f>
      </x:c>
      <x:c r="C11" s="16" t="str">
        <x:f>IF(Weekly_View!$W11="","",Weekly_View!$B11)</x:f>
      </x:c>
      <x:c r="D11" s="16" t="str">
        <x:f>IF(Weekly_View!$W11="","",Weekly_View!$D11)</x:f>
      </x:c>
      <x:c r="E11" s="16" t="str">
        <x:f>IF(Weekly_View!$W11="","",Weekly_View!$E11)</x:f>
      </x:c>
      <x:c r="F11" s="16" t="str">
        <x:f>IF(Weekly_View!$W11="","",Weekly_View!$F11)</x:f>
      </x:c>
      <x:c r="G11" s="16" t="str">
        <x:f>IF(Weekly_View!$W11="","",Weekly_View!$G11)</x:f>
      </x:c>
      <x:c r="H11" s="16" t="str">
        <x:f>IF(Weekly_View!$W11="","",Weekly_View!$H11)</x:f>
      </x:c>
      <x:c r="I11" s="19" t="str">
        <x:f>IF(Weekly_View!$W11="","",Weekly_View!$K11)</x:f>
      </x:c>
      <x:c r="J11" s="19" t="str">
        <x:f>IF(Weekly_View!$W11="","",Weekly_View!$L11)</x:f>
      </x:c>
      <x:c r="K11" s="19" t="str">
        <x:f>IF(Weekly_View!$W11="","",SUM(Weekly_View!$M11,Weekly_View!$O11,Weekly_View!$Q11,Weekly_View!$S11,Weekly_View!$U11))</x:f>
      </x:c>
      <x:c r="L11" s="19" t="str">
        <x:f>IF(Weekly_View!$W11="","",IFERROR(AVERAGE(Weekly_View!$N11,Weekly_View!$P11,Weekly_View!$R11,Weekly_View!$T11,Weekly_View!$V11),""))</x:f>
      </x:c>
      <x:c r="M11" s="16" t="str">
        <x:f>IF(Weekly_View!$W11="","",Weekly_View!$W11)</x:f>
      </x:c>
      <x:c r="N11" s="16" t="str">
        <x:f>IF(Weekly_View!$W11="","",Weekly_View!$X11)</x:f>
      </x:c>
    </x:row>
    <x:row r="12">
      <x:c r="A12" s="37" t="str">
        <x:f>IF(Weekly_View!$W12="","",Weekly_View!$C12)</x:f>
      </x:c>
      <x:c r="B12" s="16" t="str">
        <x:f>IF(Weekly_View!$W12="","",Weekly_View!$A12)</x:f>
      </x:c>
      <x:c r="C12" s="16" t="str">
        <x:f>IF(Weekly_View!$W12="","",Weekly_View!$B12)</x:f>
      </x:c>
      <x:c r="D12" s="16" t="str">
        <x:f>IF(Weekly_View!$W12="","",Weekly_View!$D12)</x:f>
      </x:c>
      <x:c r="E12" s="16" t="str">
        <x:f>IF(Weekly_View!$W12="","",Weekly_View!$E12)</x:f>
      </x:c>
      <x:c r="F12" s="16" t="str">
        <x:f>IF(Weekly_View!$W12="","",Weekly_View!$F12)</x:f>
      </x:c>
      <x:c r="G12" s="16" t="str">
        <x:f>IF(Weekly_View!$W12="","",Weekly_View!$G12)</x:f>
      </x:c>
      <x:c r="H12" s="16" t="str">
        <x:f>IF(Weekly_View!$W12="","",Weekly_View!$H12)</x:f>
      </x:c>
      <x:c r="I12" s="19" t="str">
        <x:f>IF(Weekly_View!$W12="","",Weekly_View!$K12)</x:f>
      </x:c>
      <x:c r="J12" s="19" t="str">
        <x:f>IF(Weekly_View!$W12="","",Weekly_View!$L12)</x:f>
      </x:c>
      <x:c r="K12" s="19" t="str">
        <x:f>IF(Weekly_View!$W12="","",SUM(Weekly_View!$M12,Weekly_View!$O12,Weekly_View!$Q12,Weekly_View!$S12,Weekly_View!$U12))</x:f>
      </x:c>
      <x:c r="L12" s="19" t="str">
        <x:f>IF(Weekly_View!$W12="","",IFERROR(AVERAGE(Weekly_View!$N12,Weekly_View!$P12,Weekly_View!$R12,Weekly_View!$T12,Weekly_View!$V12),""))</x:f>
      </x:c>
      <x:c r="M12" s="16" t="str">
        <x:f>IF(Weekly_View!$W12="","",Weekly_View!$W12)</x:f>
      </x:c>
      <x:c r="N12" s="16" t="str">
        <x:f>IF(Weekly_View!$W12="","",Weekly_View!$X12)</x:f>
      </x:c>
    </x:row>
    <x:row r="13">
      <x:c r="A13" s="37" t="str">
        <x:f>IF(Weekly_View!$W13="","",Weekly_View!$C13)</x:f>
      </x:c>
      <x:c r="B13" s="16" t="str">
        <x:f>IF(Weekly_View!$W13="","",Weekly_View!$A13)</x:f>
      </x:c>
      <x:c r="C13" s="16" t="str">
        <x:f>IF(Weekly_View!$W13="","",Weekly_View!$B13)</x:f>
      </x:c>
      <x:c r="D13" s="16" t="str">
        <x:f>IF(Weekly_View!$W13="","",Weekly_View!$D13)</x:f>
      </x:c>
      <x:c r="E13" s="16" t="str">
        <x:f>IF(Weekly_View!$W13="","",Weekly_View!$E13)</x:f>
      </x:c>
      <x:c r="F13" s="16" t="str">
        <x:f>IF(Weekly_View!$W13="","",Weekly_View!$F13)</x:f>
      </x:c>
      <x:c r="G13" s="16" t="str">
        <x:f>IF(Weekly_View!$W13="","",Weekly_View!$G13)</x:f>
      </x:c>
      <x:c r="H13" s="16" t="str">
        <x:f>IF(Weekly_View!$W13="","",Weekly_View!$H13)</x:f>
      </x:c>
      <x:c r="I13" s="19" t="str">
        <x:f>IF(Weekly_View!$W13="","",Weekly_View!$K13)</x:f>
      </x:c>
      <x:c r="J13" s="19" t="str">
        <x:f>IF(Weekly_View!$W13="","",Weekly_View!$L13)</x:f>
      </x:c>
      <x:c r="K13" s="19" t="str">
        <x:f>IF(Weekly_View!$W13="","",SUM(Weekly_View!$M13,Weekly_View!$O13,Weekly_View!$Q13,Weekly_View!$S13,Weekly_View!$U13))</x:f>
      </x:c>
      <x:c r="L13" s="19" t="str">
        <x:f>IF(Weekly_View!$W13="","",IFERROR(AVERAGE(Weekly_View!$N13,Weekly_View!$P13,Weekly_View!$R13,Weekly_View!$T13,Weekly_View!$V13),""))</x:f>
      </x:c>
      <x:c r="M13" s="16" t="str">
        <x:f>IF(Weekly_View!$W13="","",Weekly_View!$W13)</x:f>
      </x:c>
      <x:c r="N13" s="16" t="str">
        <x:f>IF(Weekly_View!$W13="","",Weekly_View!$X13)</x:f>
      </x:c>
    </x:row>
    <x:row r="14">
      <x:c r="A14" s="37" t="str">
        <x:f>IF(Weekly_View!$W14="","",Weekly_View!$C14)</x:f>
      </x:c>
      <x:c r="B14" s="16" t="str">
        <x:f>IF(Weekly_View!$W14="","",Weekly_View!$A14)</x:f>
      </x:c>
      <x:c r="C14" s="16" t="str">
        <x:f>IF(Weekly_View!$W14="","",Weekly_View!$B14)</x:f>
      </x:c>
      <x:c r="D14" s="16" t="str">
        <x:f>IF(Weekly_View!$W14="","",Weekly_View!$D14)</x:f>
      </x:c>
      <x:c r="E14" s="16" t="str">
        <x:f>IF(Weekly_View!$W14="","",Weekly_View!$E14)</x:f>
      </x:c>
      <x:c r="F14" s="16" t="str">
        <x:f>IF(Weekly_View!$W14="","",Weekly_View!$F14)</x:f>
      </x:c>
      <x:c r="G14" s="16" t="str">
        <x:f>IF(Weekly_View!$W14="","",Weekly_View!$G14)</x:f>
      </x:c>
      <x:c r="H14" s="16" t="str">
        <x:f>IF(Weekly_View!$W14="","",Weekly_View!$H14)</x:f>
      </x:c>
      <x:c r="I14" s="19" t="str">
        <x:f>IF(Weekly_View!$W14="","",Weekly_View!$K14)</x:f>
      </x:c>
      <x:c r="J14" s="19" t="str">
        <x:f>IF(Weekly_View!$W14="","",Weekly_View!$L14)</x:f>
      </x:c>
      <x:c r="K14" s="19" t="str">
        <x:f>IF(Weekly_View!$W14="","",SUM(Weekly_View!$M14,Weekly_View!$O14,Weekly_View!$Q14,Weekly_View!$S14,Weekly_View!$U14))</x:f>
      </x:c>
      <x:c r="L14" s="19" t="str">
        <x:f>IF(Weekly_View!$W14="","",IFERROR(AVERAGE(Weekly_View!$N14,Weekly_View!$P14,Weekly_View!$R14,Weekly_View!$T14,Weekly_View!$V14),""))</x:f>
      </x:c>
      <x:c r="M14" s="16" t="str">
        <x:f>IF(Weekly_View!$W14="","",Weekly_View!$W14)</x:f>
      </x:c>
      <x:c r="N14" s="16" t="str">
        <x:f>IF(Weekly_View!$W14="","",Weekly_View!$X14)</x:f>
      </x:c>
    </x:row>
    <x:row r="15">
      <x:c r="A15" s="37" t="str">
        <x:f>IF(Weekly_View!$W15="","",Weekly_View!$C15)</x:f>
      </x:c>
      <x:c r="B15" s="16" t="str">
        <x:f>IF(Weekly_View!$W15="","",Weekly_View!$A15)</x:f>
      </x:c>
      <x:c r="C15" s="16" t="str">
        <x:f>IF(Weekly_View!$W15="","",Weekly_View!$B15)</x:f>
      </x:c>
      <x:c r="D15" s="16" t="str">
        <x:f>IF(Weekly_View!$W15="","",Weekly_View!$D15)</x:f>
      </x:c>
      <x:c r="E15" s="16" t="str">
        <x:f>IF(Weekly_View!$W15="","",Weekly_View!$E15)</x:f>
      </x:c>
      <x:c r="F15" s="16" t="str">
        <x:f>IF(Weekly_View!$W15="","",Weekly_View!$F15)</x:f>
      </x:c>
      <x:c r="G15" s="16" t="str">
        <x:f>IF(Weekly_View!$W15="","",Weekly_View!$G15)</x:f>
      </x:c>
      <x:c r="H15" s="16" t="str">
        <x:f>IF(Weekly_View!$W15="","",Weekly_View!$H15)</x:f>
      </x:c>
      <x:c r="I15" s="19" t="str">
        <x:f>IF(Weekly_View!$W15="","",Weekly_View!$K15)</x:f>
      </x:c>
      <x:c r="J15" s="19" t="str">
        <x:f>IF(Weekly_View!$W15="","",Weekly_View!$L15)</x:f>
      </x:c>
      <x:c r="K15" s="19" t="str">
        <x:f>IF(Weekly_View!$W15="","",SUM(Weekly_View!$M15,Weekly_View!$O15,Weekly_View!$Q15,Weekly_View!$S15,Weekly_View!$U15))</x:f>
      </x:c>
      <x:c r="L15" s="19" t="str">
        <x:f>IF(Weekly_View!$W15="","",IFERROR(AVERAGE(Weekly_View!$N15,Weekly_View!$P15,Weekly_View!$R15,Weekly_View!$T15,Weekly_View!$V15),""))</x:f>
      </x:c>
      <x:c r="M15" s="16" t="str">
        <x:f>IF(Weekly_View!$W15="","",Weekly_View!$W15)</x:f>
      </x:c>
      <x:c r="N15" s="16" t="str">
        <x:f>IF(Weekly_View!$W15="","",Weekly_View!$X15)</x:f>
      </x:c>
    </x:row>
    <x:row r="16">
      <x:c r="A16" s="37" t="str">
        <x:f>IF(Weekly_View!$W16="","",Weekly_View!$C16)</x:f>
      </x:c>
      <x:c r="B16" s="16" t="str">
        <x:f>IF(Weekly_View!$W16="","",Weekly_View!$A16)</x:f>
      </x:c>
      <x:c r="C16" s="16" t="str">
        <x:f>IF(Weekly_View!$W16="","",Weekly_View!$B16)</x:f>
      </x:c>
      <x:c r="D16" s="16" t="str">
        <x:f>IF(Weekly_View!$W16="","",Weekly_View!$D16)</x:f>
      </x:c>
      <x:c r="E16" s="16" t="str">
        <x:f>IF(Weekly_View!$W16="","",Weekly_View!$E16)</x:f>
      </x:c>
      <x:c r="F16" s="16" t="str">
        <x:f>IF(Weekly_View!$W16="","",Weekly_View!$F16)</x:f>
      </x:c>
      <x:c r="G16" s="16" t="str">
        <x:f>IF(Weekly_View!$W16="","",Weekly_View!$G16)</x:f>
      </x:c>
      <x:c r="H16" s="16" t="str">
        <x:f>IF(Weekly_View!$W16="","",Weekly_View!$H16)</x:f>
      </x:c>
      <x:c r="I16" s="19" t="str">
        <x:f>IF(Weekly_View!$W16="","",Weekly_View!$K16)</x:f>
      </x:c>
      <x:c r="J16" s="19" t="str">
        <x:f>IF(Weekly_View!$W16="","",Weekly_View!$L16)</x:f>
      </x:c>
      <x:c r="K16" s="19" t="str">
        <x:f>IF(Weekly_View!$W16="","",SUM(Weekly_View!$M16,Weekly_View!$O16,Weekly_View!$Q16,Weekly_View!$S16,Weekly_View!$U16))</x:f>
      </x:c>
      <x:c r="L16" s="19" t="str">
        <x:f>IF(Weekly_View!$W16="","",IFERROR(AVERAGE(Weekly_View!$N16,Weekly_View!$P16,Weekly_View!$R16,Weekly_View!$T16,Weekly_View!$V16),""))</x:f>
      </x:c>
      <x:c r="M16" s="16" t="str">
        <x:f>IF(Weekly_View!$W16="","",Weekly_View!$W16)</x:f>
      </x:c>
      <x:c r="N16" s="16" t="str">
        <x:f>IF(Weekly_View!$W16="","",Weekly_View!$X16)</x:f>
      </x:c>
    </x:row>
    <x:row r="17">
      <x:c r="A17" s="37" t="str">
        <x:f>IF(Weekly_View!$W17="","",Weekly_View!$C17)</x:f>
      </x:c>
      <x:c r="B17" s="16" t="str">
        <x:f>IF(Weekly_View!$W17="","",Weekly_View!$A17)</x:f>
      </x:c>
      <x:c r="C17" s="16" t="str">
        <x:f>IF(Weekly_View!$W17="","",Weekly_View!$B17)</x:f>
      </x:c>
      <x:c r="D17" s="16" t="str">
        <x:f>IF(Weekly_View!$W17="","",Weekly_View!$D17)</x:f>
      </x:c>
      <x:c r="E17" s="16" t="str">
        <x:f>IF(Weekly_View!$W17="","",Weekly_View!$E17)</x:f>
      </x:c>
      <x:c r="F17" s="16" t="str">
        <x:f>IF(Weekly_View!$W17="","",Weekly_View!$F17)</x:f>
      </x:c>
      <x:c r="G17" s="16" t="str">
        <x:f>IF(Weekly_View!$W17="","",Weekly_View!$G17)</x:f>
      </x:c>
      <x:c r="H17" s="16" t="str">
        <x:f>IF(Weekly_View!$W17="","",Weekly_View!$H17)</x:f>
      </x:c>
      <x:c r="I17" s="19" t="str">
        <x:f>IF(Weekly_View!$W17="","",Weekly_View!$K17)</x:f>
      </x:c>
      <x:c r="J17" s="19" t="str">
        <x:f>IF(Weekly_View!$W17="","",Weekly_View!$L17)</x:f>
      </x:c>
      <x:c r="K17" s="19" t="str">
        <x:f>IF(Weekly_View!$W17="","",SUM(Weekly_View!$M17,Weekly_View!$O17,Weekly_View!$Q17,Weekly_View!$S17,Weekly_View!$U17))</x:f>
      </x:c>
      <x:c r="L17" s="19" t="str">
        <x:f>IF(Weekly_View!$W17="","",IFERROR(AVERAGE(Weekly_View!$N17,Weekly_View!$P17,Weekly_View!$R17,Weekly_View!$T17,Weekly_View!$V17),""))</x:f>
      </x:c>
      <x:c r="M17" s="16" t="str">
        <x:f>IF(Weekly_View!$W17="","",Weekly_View!$W17)</x:f>
      </x:c>
      <x:c r="N17" s="16" t="str">
        <x:f>IF(Weekly_View!$W17="","",Weekly_View!$X17)</x:f>
      </x:c>
    </x:row>
    <x:row r="18">
      <x:c r="A18" s="37" t="str">
        <x:f>IF(Weekly_View!$W18="","",Weekly_View!$C18)</x:f>
      </x:c>
      <x:c r="B18" s="16" t="str">
        <x:f>IF(Weekly_View!$W18="","",Weekly_View!$A18)</x:f>
      </x:c>
      <x:c r="C18" s="16" t="str">
        <x:f>IF(Weekly_View!$W18="","",Weekly_View!$B18)</x:f>
      </x:c>
      <x:c r="D18" s="16" t="str">
        <x:f>IF(Weekly_View!$W18="","",Weekly_View!$D18)</x:f>
      </x:c>
      <x:c r="E18" s="16" t="str">
        <x:f>IF(Weekly_View!$W18="","",Weekly_View!$E18)</x:f>
      </x:c>
      <x:c r="F18" s="16" t="str">
        <x:f>IF(Weekly_View!$W18="","",Weekly_View!$F18)</x:f>
      </x:c>
      <x:c r="G18" s="16" t="str">
        <x:f>IF(Weekly_View!$W18="","",Weekly_View!$G18)</x:f>
      </x:c>
      <x:c r="H18" s="16" t="str">
        <x:f>IF(Weekly_View!$W18="","",Weekly_View!$H18)</x:f>
      </x:c>
      <x:c r="I18" s="19" t="str">
        <x:f>IF(Weekly_View!$W18="","",Weekly_View!$K18)</x:f>
      </x:c>
      <x:c r="J18" s="19" t="str">
        <x:f>IF(Weekly_View!$W18="","",Weekly_View!$L18)</x:f>
      </x:c>
      <x:c r="K18" s="19" t="str">
        <x:f>IF(Weekly_View!$W18="","",SUM(Weekly_View!$M18,Weekly_View!$O18,Weekly_View!$Q18,Weekly_View!$S18,Weekly_View!$U18))</x:f>
      </x:c>
      <x:c r="L18" s="19" t="str">
        <x:f>IF(Weekly_View!$W18="","",IFERROR(AVERAGE(Weekly_View!$N18,Weekly_View!$P18,Weekly_View!$R18,Weekly_View!$T18,Weekly_View!$V18),""))</x:f>
      </x:c>
      <x:c r="M18" s="16" t="str">
        <x:f>IF(Weekly_View!$W18="","",Weekly_View!$W18)</x:f>
      </x:c>
      <x:c r="N18" s="16" t="str">
        <x:f>IF(Weekly_View!$W18="","",Weekly_View!$X18)</x:f>
      </x:c>
    </x:row>
    <x:row r="19">
      <x:c r="A19" s="37" t="str">
        <x:f>IF(Weekly_View!$W19="","",Weekly_View!$C19)</x:f>
      </x:c>
      <x:c r="B19" s="16" t="str">
        <x:f>IF(Weekly_View!$W19="","",Weekly_View!$A19)</x:f>
      </x:c>
      <x:c r="C19" s="16" t="str">
        <x:f>IF(Weekly_View!$W19="","",Weekly_View!$B19)</x:f>
      </x:c>
      <x:c r="D19" s="16" t="str">
        <x:f>IF(Weekly_View!$W19="","",Weekly_View!$D19)</x:f>
      </x:c>
      <x:c r="E19" s="16" t="str">
        <x:f>IF(Weekly_View!$W19="","",Weekly_View!$E19)</x:f>
      </x:c>
      <x:c r="F19" s="16" t="str">
        <x:f>IF(Weekly_View!$W19="","",Weekly_View!$F19)</x:f>
      </x:c>
      <x:c r="G19" s="16" t="str">
        <x:f>IF(Weekly_View!$W19="","",Weekly_View!$G19)</x:f>
      </x:c>
      <x:c r="H19" s="16" t="str">
        <x:f>IF(Weekly_View!$W19="","",Weekly_View!$H19)</x:f>
      </x:c>
      <x:c r="I19" s="19" t="str">
        <x:f>IF(Weekly_View!$W19="","",Weekly_View!$K19)</x:f>
      </x:c>
      <x:c r="J19" s="19" t="str">
        <x:f>IF(Weekly_View!$W19="","",Weekly_View!$L19)</x:f>
      </x:c>
      <x:c r="K19" s="19" t="str">
        <x:f>IF(Weekly_View!$W19="","",SUM(Weekly_View!$M19,Weekly_View!$O19,Weekly_View!$Q19,Weekly_View!$S19,Weekly_View!$U19))</x:f>
      </x:c>
      <x:c r="L19" s="19" t="str">
        <x:f>IF(Weekly_View!$W19="","",IFERROR(AVERAGE(Weekly_View!$N19,Weekly_View!$P19,Weekly_View!$R19,Weekly_View!$T19,Weekly_View!$V19),""))</x:f>
      </x:c>
      <x:c r="M19" s="16" t="str">
        <x:f>IF(Weekly_View!$W19="","",Weekly_View!$W19)</x:f>
      </x:c>
      <x:c r="N19" s="16" t="str">
        <x:f>IF(Weekly_View!$W19="","",Weekly_View!$X19)</x:f>
      </x:c>
    </x:row>
    <x:row r="20">
      <x:c r="A20" s="37" t="str">
        <x:f>IF(Weekly_View!$W20="","",Weekly_View!$C20)</x:f>
      </x:c>
      <x:c r="B20" s="16" t="str">
        <x:f>IF(Weekly_View!$W20="","",Weekly_View!$A20)</x:f>
      </x:c>
      <x:c r="C20" s="16" t="str">
        <x:f>IF(Weekly_View!$W20="","",Weekly_View!$B20)</x:f>
      </x:c>
      <x:c r="D20" s="16" t="str">
        <x:f>IF(Weekly_View!$W20="","",Weekly_View!$D20)</x:f>
      </x:c>
      <x:c r="E20" s="16" t="str">
        <x:f>IF(Weekly_View!$W20="","",Weekly_View!$E20)</x:f>
      </x:c>
      <x:c r="F20" s="16" t="str">
        <x:f>IF(Weekly_View!$W20="","",Weekly_View!$F20)</x:f>
      </x:c>
      <x:c r="G20" s="16" t="str">
        <x:f>IF(Weekly_View!$W20="","",Weekly_View!$G20)</x:f>
      </x:c>
      <x:c r="H20" s="16" t="str">
        <x:f>IF(Weekly_View!$W20="","",Weekly_View!$H20)</x:f>
      </x:c>
      <x:c r="I20" s="19" t="str">
        <x:f>IF(Weekly_View!$W20="","",Weekly_View!$K20)</x:f>
      </x:c>
      <x:c r="J20" s="19" t="str">
        <x:f>IF(Weekly_View!$W20="","",Weekly_View!$L20)</x:f>
      </x:c>
      <x:c r="K20" s="19" t="str">
        <x:f>IF(Weekly_View!$W20="","",SUM(Weekly_View!$M20,Weekly_View!$O20,Weekly_View!$Q20,Weekly_View!$S20,Weekly_View!$U20))</x:f>
      </x:c>
      <x:c r="L20" s="19" t="str">
        <x:f>IF(Weekly_View!$W20="","",IFERROR(AVERAGE(Weekly_View!$N20,Weekly_View!$P20,Weekly_View!$R20,Weekly_View!$T20,Weekly_View!$V20),""))</x:f>
      </x:c>
      <x:c r="M20" s="16" t="str">
        <x:f>IF(Weekly_View!$W20="","",Weekly_View!$W20)</x:f>
      </x:c>
      <x:c r="N20" s="16" t="str">
        <x:f>IF(Weekly_View!$W20="","",Weekly_View!$X20)</x:f>
      </x:c>
    </x:row>
    <x:row r="21">
      <x:c r="A21" s="37" t="str">
        <x:f>IF(Weekly_View!$W21="","",Weekly_View!$C21)</x:f>
      </x:c>
      <x:c r="B21" s="16" t="str">
        <x:f>IF(Weekly_View!$W21="","",Weekly_View!$A21)</x:f>
      </x:c>
      <x:c r="C21" s="16" t="str">
        <x:f>IF(Weekly_View!$W21="","",Weekly_View!$B21)</x:f>
      </x:c>
      <x:c r="D21" s="16" t="str">
        <x:f>IF(Weekly_View!$W21="","",Weekly_View!$D21)</x:f>
      </x:c>
      <x:c r="E21" s="16" t="str">
        <x:f>IF(Weekly_View!$W21="","",Weekly_View!$E21)</x:f>
      </x:c>
      <x:c r="F21" s="16" t="str">
        <x:f>IF(Weekly_View!$W21="","",Weekly_View!$F21)</x:f>
      </x:c>
      <x:c r="G21" s="16" t="str">
        <x:f>IF(Weekly_View!$W21="","",Weekly_View!$G21)</x:f>
      </x:c>
      <x:c r="H21" s="16" t="str">
        <x:f>IF(Weekly_View!$W21="","",Weekly_View!$H21)</x:f>
      </x:c>
      <x:c r="I21" s="19" t="str">
        <x:f>IF(Weekly_View!$W21="","",Weekly_View!$K21)</x:f>
      </x:c>
      <x:c r="J21" s="19" t="str">
        <x:f>IF(Weekly_View!$W21="","",Weekly_View!$L21)</x:f>
      </x:c>
      <x:c r="K21" s="19" t="str">
        <x:f>IF(Weekly_View!$W21="","",SUM(Weekly_View!$M21,Weekly_View!$O21,Weekly_View!$Q21,Weekly_View!$S21,Weekly_View!$U21))</x:f>
      </x:c>
      <x:c r="L21" s="19" t="str">
        <x:f>IF(Weekly_View!$W21="","",IFERROR(AVERAGE(Weekly_View!$N21,Weekly_View!$P21,Weekly_View!$R21,Weekly_View!$T21,Weekly_View!$V21),""))</x:f>
      </x:c>
      <x:c r="M21" s="16" t="str">
        <x:f>IF(Weekly_View!$W21="","",Weekly_View!$W21)</x:f>
      </x:c>
      <x:c r="N21" s="16" t="str">
        <x:f>IF(Weekly_View!$W21="","",Weekly_View!$X21)</x:f>
      </x:c>
    </x:row>
    <x:row r="22">
      <x:c r="A22" s="37" t="str">
        <x:f>IF(Weekly_View!$W22="","",Weekly_View!$C22)</x:f>
      </x:c>
      <x:c r="B22" s="16" t="str">
        <x:f>IF(Weekly_View!$W22="","",Weekly_View!$A22)</x:f>
      </x:c>
      <x:c r="C22" s="16" t="str">
        <x:f>IF(Weekly_View!$W22="","",Weekly_View!$B22)</x:f>
      </x:c>
      <x:c r="D22" s="16" t="str">
        <x:f>IF(Weekly_View!$W22="","",Weekly_View!$D22)</x:f>
      </x:c>
      <x:c r="E22" s="16" t="str">
        <x:f>IF(Weekly_View!$W22="","",Weekly_View!$E22)</x:f>
      </x:c>
      <x:c r="F22" s="16" t="str">
        <x:f>IF(Weekly_View!$W22="","",Weekly_View!$F22)</x:f>
      </x:c>
      <x:c r="G22" s="16" t="str">
        <x:f>IF(Weekly_View!$W22="","",Weekly_View!$G22)</x:f>
      </x:c>
      <x:c r="H22" s="16" t="str">
        <x:f>IF(Weekly_View!$W22="","",Weekly_View!$H22)</x:f>
      </x:c>
      <x:c r="I22" s="19" t="str">
        <x:f>IF(Weekly_View!$W22="","",Weekly_View!$K22)</x:f>
      </x:c>
      <x:c r="J22" s="19" t="str">
        <x:f>IF(Weekly_View!$W22="","",Weekly_View!$L22)</x:f>
      </x:c>
      <x:c r="K22" s="19" t="str">
        <x:f>IF(Weekly_View!$W22="","",SUM(Weekly_View!$M22,Weekly_View!$O22,Weekly_View!$Q22,Weekly_View!$S22,Weekly_View!$U22))</x:f>
      </x:c>
      <x:c r="L22" s="19" t="str">
        <x:f>IF(Weekly_View!$W22="","",IFERROR(AVERAGE(Weekly_View!$N22,Weekly_View!$P22,Weekly_View!$R22,Weekly_View!$T22,Weekly_View!$V22),""))</x:f>
      </x:c>
      <x:c r="M22" s="16" t="str">
        <x:f>IF(Weekly_View!$W22="","",Weekly_View!$W22)</x:f>
      </x:c>
      <x:c r="N22" s="16" t="str">
        <x:f>IF(Weekly_View!$W22="","",Weekly_View!$X22)</x:f>
      </x:c>
    </x:row>
    <x:row r="23">
      <x:c r="A23" s="37" t="str">
        <x:f>IF(Weekly_View!$W23="","",Weekly_View!$C23)</x:f>
      </x:c>
      <x:c r="B23" s="16" t="str">
        <x:f>IF(Weekly_View!$W23="","",Weekly_View!$A23)</x:f>
      </x:c>
      <x:c r="C23" s="16" t="str">
        <x:f>IF(Weekly_View!$W23="","",Weekly_View!$B23)</x:f>
      </x:c>
      <x:c r="D23" s="16" t="str">
        <x:f>IF(Weekly_View!$W23="","",Weekly_View!$D23)</x:f>
      </x:c>
      <x:c r="E23" s="16" t="str">
        <x:f>IF(Weekly_View!$W23="","",Weekly_View!$E23)</x:f>
      </x:c>
      <x:c r="F23" s="16" t="str">
        <x:f>IF(Weekly_View!$W23="","",Weekly_View!$F23)</x:f>
      </x:c>
      <x:c r="G23" s="16" t="str">
        <x:f>IF(Weekly_View!$W23="","",Weekly_View!$G23)</x:f>
      </x:c>
      <x:c r="H23" s="16" t="str">
        <x:f>IF(Weekly_View!$W23="","",Weekly_View!$H23)</x:f>
      </x:c>
      <x:c r="I23" s="19" t="str">
        <x:f>IF(Weekly_View!$W23="","",Weekly_View!$K23)</x:f>
      </x:c>
      <x:c r="J23" s="19" t="str">
        <x:f>IF(Weekly_View!$W23="","",Weekly_View!$L23)</x:f>
      </x:c>
      <x:c r="K23" s="19" t="str">
        <x:f>IF(Weekly_View!$W23="","",SUM(Weekly_View!$M23,Weekly_View!$O23,Weekly_View!$Q23,Weekly_View!$S23,Weekly_View!$U23))</x:f>
      </x:c>
      <x:c r="L23" s="19" t="str">
        <x:f>IF(Weekly_View!$W23="","",IFERROR(AVERAGE(Weekly_View!$N23,Weekly_View!$P23,Weekly_View!$R23,Weekly_View!$T23,Weekly_View!$V23),""))</x:f>
      </x:c>
      <x:c r="M23" s="16" t="str">
        <x:f>IF(Weekly_View!$W23="","",Weekly_View!$W23)</x:f>
      </x:c>
      <x:c r="N23" s="16" t="str">
        <x:f>IF(Weekly_View!$W23="","",Weekly_View!$X23)</x:f>
      </x:c>
    </x:row>
    <x:row r="24">
      <x:c r="A24" s="37" t="str">
        <x:f>IF(Weekly_View!$W24="","",Weekly_View!$C24)</x:f>
      </x:c>
      <x:c r="B24" s="16" t="str">
        <x:f>IF(Weekly_View!$W24="","",Weekly_View!$A24)</x:f>
      </x:c>
      <x:c r="C24" s="16" t="str">
        <x:f>IF(Weekly_View!$W24="","",Weekly_View!$B24)</x:f>
      </x:c>
      <x:c r="D24" s="16" t="str">
        <x:f>IF(Weekly_View!$W24="","",Weekly_View!$D24)</x:f>
      </x:c>
      <x:c r="E24" s="16" t="str">
        <x:f>IF(Weekly_View!$W24="","",Weekly_View!$E24)</x:f>
      </x:c>
      <x:c r="F24" s="16" t="str">
        <x:f>IF(Weekly_View!$W24="","",Weekly_View!$F24)</x:f>
      </x:c>
      <x:c r="G24" s="16" t="str">
        <x:f>IF(Weekly_View!$W24="","",Weekly_View!$G24)</x:f>
      </x:c>
      <x:c r="H24" s="16" t="str">
        <x:f>IF(Weekly_View!$W24="","",Weekly_View!$H24)</x:f>
      </x:c>
      <x:c r="I24" s="19" t="str">
        <x:f>IF(Weekly_View!$W24="","",Weekly_View!$K24)</x:f>
      </x:c>
      <x:c r="J24" s="19" t="str">
        <x:f>IF(Weekly_View!$W24="","",Weekly_View!$L24)</x:f>
      </x:c>
      <x:c r="K24" s="19" t="str">
        <x:f>IF(Weekly_View!$W24="","",SUM(Weekly_View!$M24,Weekly_View!$O24,Weekly_View!$Q24,Weekly_View!$S24,Weekly_View!$U24))</x:f>
      </x:c>
      <x:c r="L24" s="19" t="str">
        <x:f>IF(Weekly_View!$W24="","",IFERROR(AVERAGE(Weekly_View!$N24,Weekly_View!$P24,Weekly_View!$R24,Weekly_View!$T24,Weekly_View!$V24),""))</x:f>
      </x:c>
      <x:c r="M24" s="16" t="str">
        <x:f>IF(Weekly_View!$W24="","",Weekly_View!$W24)</x:f>
      </x:c>
      <x:c r="N24" s="16" t="str">
        <x:f>IF(Weekly_View!$W24="","",Weekly_View!$X24)</x:f>
      </x:c>
    </x:row>
    <x:row r="25">
      <x:c r="A25" s="37" t="str">
        <x:f>IF(Weekly_View!$W25="","",Weekly_View!$C25)</x:f>
      </x:c>
      <x:c r="B25" s="16" t="str">
        <x:f>IF(Weekly_View!$W25="","",Weekly_View!$A25)</x:f>
      </x:c>
      <x:c r="C25" s="16" t="str">
        <x:f>IF(Weekly_View!$W25="","",Weekly_View!$B25)</x:f>
      </x:c>
      <x:c r="D25" s="16" t="str">
        <x:f>IF(Weekly_View!$W25="","",Weekly_View!$D25)</x:f>
      </x:c>
      <x:c r="E25" s="16" t="str">
        <x:f>IF(Weekly_View!$W25="","",Weekly_View!$E25)</x:f>
      </x:c>
      <x:c r="F25" s="16" t="str">
        <x:f>IF(Weekly_View!$W25="","",Weekly_View!$F25)</x:f>
      </x:c>
      <x:c r="G25" s="16" t="str">
        <x:f>IF(Weekly_View!$W25="","",Weekly_View!$G25)</x:f>
      </x:c>
      <x:c r="H25" s="16" t="str">
        <x:f>IF(Weekly_View!$W25="","",Weekly_View!$H25)</x:f>
      </x:c>
      <x:c r="I25" s="19" t="str">
        <x:f>IF(Weekly_View!$W25="","",Weekly_View!$K25)</x:f>
      </x:c>
      <x:c r="J25" s="19" t="str">
        <x:f>IF(Weekly_View!$W25="","",Weekly_View!$L25)</x:f>
      </x:c>
      <x:c r="K25" s="19" t="str">
        <x:f>IF(Weekly_View!$W25="","",SUM(Weekly_View!$M25,Weekly_View!$O25,Weekly_View!$Q25,Weekly_View!$S25,Weekly_View!$U25))</x:f>
      </x:c>
      <x:c r="L25" s="19" t="str">
        <x:f>IF(Weekly_View!$W25="","",IFERROR(AVERAGE(Weekly_View!$N25,Weekly_View!$P25,Weekly_View!$R25,Weekly_View!$T25,Weekly_View!$V25),""))</x:f>
      </x:c>
      <x:c r="M25" s="16" t="str">
        <x:f>IF(Weekly_View!$W25="","",Weekly_View!$W25)</x:f>
      </x:c>
      <x:c r="N25" s="16" t="str">
        <x:f>IF(Weekly_View!$W25="","",Weekly_View!$X25)</x:f>
      </x:c>
    </x:row>
    <x:row r="26">
      <x:c r="A26" s="37" t="str">
        <x:f>IF(Weekly_View!$W26="","",Weekly_View!$C26)</x:f>
      </x:c>
      <x:c r="B26" s="16" t="str">
        <x:f>IF(Weekly_View!$W26="","",Weekly_View!$A26)</x:f>
      </x:c>
      <x:c r="C26" s="16" t="str">
        <x:f>IF(Weekly_View!$W26="","",Weekly_View!$B26)</x:f>
      </x:c>
      <x:c r="D26" s="16" t="str">
        <x:f>IF(Weekly_View!$W26="","",Weekly_View!$D26)</x:f>
      </x:c>
      <x:c r="E26" s="16" t="str">
        <x:f>IF(Weekly_View!$W26="","",Weekly_View!$E26)</x:f>
      </x:c>
      <x:c r="F26" s="16" t="str">
        <x:f>IF(Weekly_View!$W26="","",Weekly_View!$F26)</x:f>
      </x:c>
      <x:c r="G26" s="16" t="str">
        <x:f>IF(Weekly_View!$W26="","",Weekly_View!$G26)</x:f>
      </x:c>
      <x:c r="H26" s="16" t="str">
        <x:f>IF(Weekly_View!$W26="","",Weekly_View!$H26)</x:f>
      </x:c>
      <x:c r="I26" s="19" t="str">
        <x:f>IF(Weekly_View!$W26="","",Weekly_View!$K26)</x:f>
      </x:c>
      <x:c r="J26" s="19" t="str">
        <x:f>IF(Weekly_View!$W26="","",Weekly_View!$L26)</x:f>
      </x:c>
      <x:c r="K26" s="19" t="str">
        <x:f>IF(Weekly_View!$W26="","",SUM(Weekly_View!$M26,Weekly_View!$O26,Weekly_View!$Q26,Weekly_View!$S26,Weekly_View!$U26))</x:f>
      </x:c>
      <x:c r="L26" s="19" t="str">
        <x:f>IF(Weekly_View!$W26="","",IFERROR(AVERAGE(Weekly_View!$N26,Weekly_View!$P26,Weekly_View!$R26,Weekly_View!$T26,Weekly_View!$V26),""))</x:f>
      </x:c>
      <x:c r="M26" s="16" t="str">
        <x:f>IF(Weekly_View!$W26="","",Weekly_View!$W26)</x:f>
      </x:c>
      <x:c r="N26" s="16" t="str">
        <x:f>IF(Weekly_View!$W26="","",Weekly_View!$X26)</x:f>
      </x:c>
    </x:row>
    <x:row r="27">
      <x:c r="A27" s="37" t="str">
        <x:f>IF(Weekly_View!$W27="","",Weekly_View!$C27)</x:f>
      </x:c>
      <x:c r="B27" s="16" t="str">
        <x:f>IF(Weekly_View!$W27="","",Weekly_View!$A27)</x:f>
      </x:c>
      <x:c r="C27" s="16" t="str">
        <x:f>IF(Weekly_View!$W27="","",Weekly_View!$B27)</x:f>
      </x:c>
      <x:c r="D27" s="16" t="str">
        <x:f>IF(Weekly_View!$W27="","",Weekly_View!$D27)</x:f>
      </x:c>
      <x:c r="E27" s="16" t="str">
        <x:f>IF(Weekly_View!$W27="","",Weekly_View!$E27)</x:f>
      </x:c>
      <x:c r="F27" s="16" t="str">
        <x:f>IF(Weekly_View!$W27="","",Weekly_View!$F27)</x:f>
      </x:c>
      <x:c r="G27" s="16" t="str">
        <x:f>IF(Weekly_View!$W27="","",Weekly_View!$G27)</x:f>
      </x:c>
      <x:c r="H27" s="16" t="str">
        <x:f>IF(Weekly_View!$W27="","",Weekly_View!$H27)</x:f>
      </x:c>
      <x:c r="I27" s="19" t="str">
        <x:f>IF(Weekly_View!$W27="","",Weekly_View!$K27)</x:f>
      </x:c>
      <x:c r="J27" s="19" t="str">
        <x:f>IF(Weekly_View!$W27="","",Weekly_View!$L27)</x:f>
      </x:c>
      <x:c r="K27" s="19" t="str">
        <x:f>IF(Weekly_View!$W27="","",SUM(Weekly_View!$M27,Weekly_View!$O27,Weekly_View!$Q27,Weekly_View!$S27,Weekly_View!$U27))</x:f>
      </x:c>
      <x:c r="L27" s="19" t="str">
        <x:f>IF(Weekly_View!$W27="","",IFERROR(AVERAGE(Weekly_View!$N27,Weekly_View!$P27,Weekly_View!$R27,Weekly_View!$T27,Weekly_View!$V27),""))</x:f>
      </x:c>
      <x:c r="M27" s="16" t="str">
        <x:f>IF(Weekly_View!$W27="","",Weekly_View!$W27)</x:f>
      </x:c>
      <x:c r="N27" s="16" t="str">
        <x:f>IF(Weekly_View!$W27="","",Weekly_View!$X27)</x:f>
      </x:c>
    </x:row>
    <x:row r="28">
      <x:c r="A28" s="37" t="str">
        <x:f>IF(Weekly_View!$W28="","",Weekly_View!$C28)</x:f>
      </x:c>
      <x:c r="B28" s="16" t="str">
        <x:f>IF(Weekly_View!$W28="","",Weekly_View!$A28)</x:f>
      </x:c>
      <x:c r="C28" s="16" t="str">
        <x:f>IF(Weekly_View!$W28="","",Weekly_View!$B28)</x:f>
      </x:c>
      <x:c r="D28" s="16" t="str">
        <x:f>IF(Weekly_View!$W28="","",Weekly_View!$D28)</x:f>
      </x:c>
      <x:c r="E28" s="16" t="str">
        <x:f>IF(Weekly_View!$W28="","",Weekly_View!$E28)</x:f>
      </x:c>
      <x:c r="F28" s="16" t="str">
        <x:f>IF(Weekly_View!$W28="","",Weekly_View!$F28)</x:f>
      </x:c>
      <x:c r="G28" s="16" t="str">
        <x:f>IF(Weekly_View!$W28="","",Weekly_View!$G28)</x:f>
      </x:c>
      <x:c r="H28" s="16" t="str">
        <x:f>IF(Weekly_View!$W28="","",Weekly_View!$H28)</x:f>
      </x:c>
      <x:c r="I28" s="19" t="str">
        <x:f>IF(Weekly_View!$W28="","",Weekly_View!$K28)</x:f>
      </x:c>
      <x:c r="J28" s="19" t="str">
        <x:f>IF(Weekly_View!$W28="","",Weekly_View!$L28)</x:f>
      </x:c>
      <x:c r="K28" s="19" t="str">
        <x:f>IF(Weekly_View!$W28="","",SUM(Weekly_View!$M28,Weekly_View!$O28,Weekly_View!$Q28,Weekly_View!$S28,Weekly_View!$U28))</x:f>
      </x:c>
      <x:c r="L28" s="19" t="str">
        <x:f>IF(Weekly_View!$W28="","",IFERROR(AVERAGE(Weekly_View!$N28,Weekly_View!$P28,Weekly_View!$R28,Weekly_View!$T28,Weekly_View!$V28),""))</x:f>
      </x:c>
      <x:c r="M28" s="16" t="str">
        <x:f>IF(Weekly_View!$W28="","",Weekly_View!$W28)</x:f>
      </x:c>
      <x:c r="N28" s="16" t="str">
        <x:f>IF(Weekly_View!$W28="","",Weekly_View!$X28)</x:f>
      </x:c>
    </x:row>
    <x:row r="29">
      <x:c r="A29" s="37" t="str">
        <x:f>IF(Weekly_View!$W29="","",Weekly_View!$C29)</x:f>
      </x:c>
      <x:c r="B29" s="16" t="str">
        <x:f>IF(Weekly_View!$W29="","",Weekly_View!$A29)</x:f>
      </x:c>
      <x:c r="C29" s="16" t="str">
        <x:f>IF(Weekly_View!$W29="","",Weekly_View!$B29)</x:f>
      </x:c>
      <x:c r="D29" s="16" t="str">
        <x:f>IF(Weekly_View!$W29="","",Weekly_View!$D29)</x:f>
      </x:c>
      <x:c r="E29" s="16" t="str">
        <x:f>IF(Weekly_View!$W29="","",Weekly_View!$E29)</x:f>
      </x:c>
      <x:c r="F29" s="16" t="str">
        <x:f>IF(Weekly_View!$W29="","",Weekly_View!$F29)</x:f>
      </x:c>
      <x:c r="G29" s="16" t="str">
        <x:f>IF(Weekly_View!$W29="","",Weekly_View!$G29)</x:f>
      </x:c>
      <x:c r="H29" s="16" t="str">
        <x:f>IF(Weekly_View!$W29="","",Weekly_View!$H29)</x:f>
      </x:c>
      <x:c r="I29" s="19" t="str">
        <x:f>IF(Weekly_View!$W29="","",Weekly_View!$K29)</x:f>
      </x:c>
      <x:c r="J29" s="19" t="str">
        <x:f>IF(Weekly_View!$W29="","",Weekly_View!$L29)</x:f>
      </x:c>
      <x:c r="K29" s="19" t="str">
        <x:f>IF(Weekly_View!$W29="","",SUM(Weekly_View!$M29,Weekly_View!$O29,Weekly_View!$Q29,Weekly_View!$S29,Weekly_View!$U29))</x:f>
      </x:c>
      <x:c r="L29" s="19" t="str">
        <x:f>IF(Weekly_View!$W29="","",IFERROR(AVERAGE(Weekly_View!$N29,Weekly_View!$P29,Weekly_View!$R29,Weekly_View!$T29,Weekly_View!$V29),""))</x:f>
      </x:c>
      <x:c r="M29" s="16" t="str">
        <x:f>IF(Weekly_View!$W29="","",Weekly_View!$W29)</x:f>
      </x:c>
      <x:c r="N29" s="16" t="str">
        <x:f>IF(Weekly_View!$W29="","",Weekly_View!$X29)</x:f>
      </x:c>
    </x:row>
    <x:row r="30">
      <x:c r="A30" s="37" t="str">
        <x:f>IF(Weekly_View!$W30="","",Weekly_View!$C30)</x:f>
      </x:c>
      <x:c r="B30" s="16" t="str">
        <x:f>IF(Weekly_View!$W30="","",Weekly_View!$A30)</x:f>
      </x:c>
      <x:c r="C30" s="16" t="str">
        <x:f>IF(Weekly_View!$W30="","",Weekly_View!$B30)</x:f>
      </x:c>
      <x:c r="D30" s="16" t="str">
        <x:f>IF(Weekly_View!$W30="","",Weekly_View!$D30)</x:f>
      </x:c>
      <x:c r="E30" s="16" t="str">
        <x:f>IF(Weekly_View!$W30="","",Weekly_View!$E30)</x:f>
      </x:c>
      <x:c r="F30" s="16" t="str">
        <x:f>IF(Weekly_View!$W30="","",Weekly_View!$F30)</x:f>
      </x:c>
      <x:c r="G30" s="16" t="str">
        <x:f>IF(Weekly_View!$W30="","",Weekly_View!$G30)</x:f>
      </x:c>
      <x:c r="H30" s="16" t="str">
        <x:f>IF(Weekly_View!$W30="","",Weekly_View!$H30)</x:f>
      </x:c>
      <x:c r="I30" s="19" t="str">
        <x:f>IF(Weekly_View!$W30="","",Weekly_View!$K30)</x:f>
      </x:c>
      <x:c r="J30" s="19" t="str">
        <x:f>IF(Weekly_View!$W30="","",Weekly_View!$L30)</x:f>
      </x:c>
      <x:c r="K30" s="19" t="str">
        <x:f>IF(Weekly_View!$W30="","",SUM(Weekly_View!$M30,Weekly_View!$O30,Weekly_View!$Q30,Weekly_View!$S30,Weekly_View!$U30))</x:f>
      </x:c>
      <x:c r="L30" s="19" t="str">
        <x:f>IF(Weekly_View!$W30="","",IFERROR(AVERAGE(Weekly_View!$N30,Weekly_View!$P30,Weekly_View!$R30,Weekly_View!$T30,Weekly_View!$V30),""))</x:f>
      </x:c>
      <x:c r="M30" s="16" t="str">
        <x:f>IF(Weekly_View!$W30="","",Weekly_View!$W30)</x:f>
      </x:c>
      <x:c r="N30" s="16" t="str">
        <x:f>IF(Weekly_View!$W30="","",Weekly_View!$X30)</x:f>
      </x:c>
    </x:row>
    <x:row r="31">
      <x:c r="A31" s="37" t="str">
        <x:f>IF(Weekly_View!$W31="","",Weekly_View!$C31)</x:f>
      </x:c>
      <x:c r="B31" s="16" t="str">
        <x:f>IF(Weekly_View!$W31="","",Weekly_View!$A31)</x:f>
      </x:c>
      <x:c r="C31" s="16" t="str">
        <x:f>IF(Weekly_View!$W31="","",Weekly_View!$B31)</x:f>
      </x:c>
      <x:c r="D31" s="16" t="str">
        <x:f>IF(Weekly_View!$W31="","",Weekly_View!$D31)</x:f>
      </x:c>
      <x:c r="E31" s="16" t="str">
        <x:f>IF(Weekly_View!$W31="","",Weekly_View!$E31)</x:f>
      </x:c>
      <x:c r="F31" s="16" t="str">
        <x:f>IF(Weekly_View!$W31="","",Weekly_View!$F31)</x:f>
      </x:c>
      <x:c r="G31" s="16" t="str">
        <x:f>IF(Weekly_View!$W31="","",Weekly_View!$G31)</x:f>
      </x:c>
      <x:c r="H31" s="16" t="str">
        <x:f>IF(Weekly_View!$W31="","",Weekly_View!$H31)</x:f>
      </x:c>
      <x:c r="I31" s="19" t="str">
        <x:f>IF(Weekly_View!$W31="","",Weekly_View!$K31)</x:f>
      </x:c>
      <x:c r="J31" s="19" t="str">
        <x:f>IF(Weekly_View!$W31="","",Weekly_View!$L31)</x:f>
      </x:c>
      <x:c r="K31" s="19" t="str">
        <x:f>IF(Weekly_View!$W31="","",SUM(Weekly_View!$M31,Weekly_View!$O31,Weekly_View!$Q31,Weekly_View!$S31,Weekly_View!$U31))</x:f>
      </x:c>
      <x:c r="L31" s="19" t="str">
        <x:f>IF(Weekly_View!$W31="","",IFERROR(AVERAGE(Weekly_View!$N31,Weekly_View!$P31,Weekly_View!$R31,Weekly_View!$T31,Weekly_View!$V31),""))</x:f>
      </x:c>
      <x:c r="M31" s="16" t="str">
        <x:f>IF(Weekly_View!$W31="","",Weekly_View!$W31)</x:f>
      </x:c>
      <x:c r="N31" s="16" t="str">
        <x:f>IF(Weekly_View!$W31="","",Weekly_View!$X31)</x:f>
      </x:c>
    </x:row>
    <x:row r="32">
      <x:c r="A32" s="37" t="str">
        <x:f>IF(Weekly_View!$W32="","",Weekly_View!$C32)</x:f>
      </x:c>
      <x:c r="B32" s="16" t="str">
        <x:f>IF(Weekly_View!$W32="","",Weekly_View!$A32)</x:f>
      </x:c>
      <x:c r="C32" s="16" t="str">
        <x:f>IF(Weekly_View!$W32="","",Weekly_View!$B32)</x:f>
      </x:c>
      <x:c r="D32" s="16" t="str">
        <x:f>IF(Weekly_View!$W32="","",Weekly_View!$D32)</x:f>
      </x:c>
      <x:c r="E32" s="16" t="str">
        <x:f>IF(Weekly_View!$W32="","",Weekly_View!$E32)</x:f>
      </x:c>
      <x:c r="F32" s="16" t="str">
        <x:f>IF(Weekly_View!$W32="","",Weekly_View!$F32)</x:f>
      </x:c>
      <x:c r="G32" s="16" t="str">
        <x:f>IF(Weekly_View!$W32="","",Weekly_View!$G32)</x:f>
      </x:c>
      <x:c r="H32" s="16" t="str">
        <x:f>IF(Weekly_View!$W32="","",Weekly_View!$H32)</x:f>
      </x:c>
      <x:c r="I32" s="19" t="str">
        <x:f>IF(Weekly_View!$W32="","",Weekly_View!$K32)</x:f>
      </x:c>
      <x:c r="J32" s="19" t="str">
        <x:f>IF(Weekly_View!$W32="","",Weekly_View!$L32)</x:f>
      </x:c>
      <x:c r="K32" s="19" t="str">
        <x:f>IF(Weekly_View!$W32="","",SUM(Weekly_View!$M32,Weekly_View!$O32,Weekly_View!$Q32,Weekly_View!$S32,Weekly_View!$U32))</x:f>
      </x:c>
      <x:c r="L32" s="19" t="str">
        <x:f>IF(Weekly_View!$W32="","",IFERROR(AVERAGE(Weekly_View!$N32,Weekly_View!$P32,Weekly_View!$R32,Weekly_View!$T32,Weekly_View!$V32),""))</x:f>
      </x:c>
      <x:c r="M32" s="16" t="str">
        <x:f>IF(Weekly_View!$W32="","",Weekly_View!$W32)</x:f>
      </x:c>
      <x:c r="N32" s="16" t="str">
        <x:f>IF(Weekly_View!$W32="","",Weekly_View!$X32)</x:f>
      </x:c>
    </x:row>
    <x:row r="33">
      <x:c r="A33" s="37" t="str">
        <x:f>IF(Weekly_View!$W33="","",Weekly_View!$C33)</x:f>
      </x:c>
      <x:c r="B33" s="16" t="str">
        <x:f>IF(Weekly_View!$W33="","",Weekly_View!$A33)</x:f>
      </x:c>
      <x:c r="C33" s="16" t="str">
        <x:f>IF(Weekly_View!$W33="","",Weekly_View!$B33)</x:f>
      </x:c>
      <x:c r="D33" s="16" t="str">
        <x:f>IF(Weekly_View!$W33="","",Weekly_View!$D33)</x:f>
      </x:c>
      <x:c r="E33" s="16" t="str">
        <x:f>IF(Weekly_View!$W33="","",Weekly_View!$E33)</x:f>
      </x:c>
      <x:c r="F33" s="16" t="str">
        <x:f>IF(Weekly_View!$W33="","",Weekly_View!$F33)</x:f>
      </x:c>
      <x:c r="G33" s="16" t="str">
        <x:f>IF(Weekly_View!$W33="","",Weekly_View!$G33)</x:f>
      </x:c>
      <x:c r="H33" s="16" t="str">
        <x:f>IF(Weekly_View!$W33="","",Weekly_View!$H33)</x:f>
      </x:c>
      <x:c r="I33" s="19" t="str">
        <x:f>IF(Weekly_View!$W33="","",Weekly_View!$K33)</x:f>
      </x:c>
      <x:c r="J33" s="19" t="str">
        <x:f>IF(Weekly_View!$W33="","",Weekly_View!$L33)</x:f>
      </x:c>
      <x:c r="K33" s="19" t="str">
        <x:f>IF(Weekly_View!$W33="","",SUM(Weekly_View!$M33,Weekly_View!$O33,Weekly_View!$Q33,Weekly_View!$S33,Weekly_View!$U33))</x:f>
      </x:c>
      <x:c r="L33" s="19" t="str">
        <x:f>IF(Weekly_View!$W33="","",IFERROR(AVERAGE(Weekly_View!$N33,Weekly_View!$P33,Weekly_View!$R33,Weekly_View!$T33,Weekly_View!$V33),""))</x:f>
      </x:c>
      <x:c r="M33" s="16" t="str">
        <x:f>IF(Weekly_View!$W33="","",Weekly_View!$W33)</x:f>
      </x:c>
      <x:c r="N33" s="16" t="str">
        <x:f>IF(Weekly_View!$W33="","",Weekly_View!$X33)</x:f>
      </x:c>
    </x:row>
    <x:row r="34">
      <x:c r="A34" s="37" t="str">
        <x:f>IF(Weekly_View!$W34="","",Weekly_View!$C34)</x:f>
      </x:c>
      <x:c r="B34" s="16" t="str">
        <x:f>IF(Weekly_View!$W34="","",Weekly_View!$A34)</x:f>
      </x:c>
      <x:c r="C34" s="16" t="str">
        <x:f>IF(Weekly_View!$W34="","",Weekly_View!$B34)</x:f>
      </x:c>
      <x:c r="D34" s="16" t="str">
        <x:f>IF(Weekly_View!$W34="","",Weekly_View!$D34)</x:f>
      </x:c>
      <x:c r="E34" s="16" t="str">
        <x:f>IF(Weekly_View!$W34="","",Weekly_View!$E34)</x:f>
      </x:c>
      <x:c r="F34" s="16" t="str">
        <x:f>IF(Weekly_View!$W34="","",Weekly_View!$F34)</x:f>
      </x:c>
      <x:c r="G34" s="16" t="str">
        <x:f>IF(Weekly_View!$W34="","",Weekly_View!$G34)</x:f>
      </x:c>
      <x:c r="H34" s="16" t="str">
        <x:f>IF(Weekly_View!$W34="","",Weekly_View!$H34)</x:f>
      </x:c>
      <x:c r="I34" s="19" t="str">
        <x:f>IF(Weekly_View!$W34="","",Weekly_View!$K34)</x:f>
      </x:c>
      <x:c r="J34" s="19" t="str">
        <x:f>IF(Weekly_View!$W34="","",Weekly_View!$L34)</x:f>
      </x:c>
      <x:c r="K34" s="19" t="str">
        <x:f>IF(Weekly_View!$W34="","",SUM(Weekly_View!$M34,Weekly_View!$O34,Weekly_View!$Q34,Weekly_View!$S34,Weekly_View!$U34))</x:f>
      </x:c>
      <x:c r="L34" s="19" t="str">
        <x:f>IF(Weekly_View!$W34="","",IFERROR(AVERAGE(Weekly_View!$N34,Weekly_View!$P34,Weekly_View!$R34,Weekly_View!$T34,Weekly_View!$V34),""))</x:f>
      </x:c>
      <x:c r="M34" s="16" t="str">
        <x:f>IF(Weekly_View!$W34="","",Weekly_View!$W34)</x:f>
      </x:c>
      <x:c r="N34" s="16" t="str">
        <x:f>IF(Weekly_View!$W34="","",Weekly_View!$X34)</x:f>
      </x:c>
    </x:row>
    <x:row r="35">
      <x:c r="A35" s="37" t="str">
        <x:f>IF(Weekly_View!$W35="","",Weekly_View!$C35)</x:f>
      </x:c>
      <x:c r="B35" s="16" t="str">
        <x:f>IF(Weekly_View!$W35="","",Weekly_View!$A35)</x:f>
      </x:c>
      <x:c r="C35" s="16" t="str">
        <x:f>IF(Weekly_View!$W35="","",Weekly_View!$B35)</x:f>
      </x:c>
      <x:c r="D35" s="16" t="str">
        <x:f>IF(Weekly_View!$W35="","",Weekly_View!$D35)</x:f>
      </x:c>
      <x:c r="E35" s="16" t="str">
        <x:f>IF(Weekly_View!$W35="","",Weekly_View!$E35)</x:f>
      </x:c>
      <x:c r="F35" s="16" t="str">
        <x:f>IF(Weekly_View!$W35="","",Weekly_View!$F35)</x:f>
      </x:c>
      <x:c r="G35" s="16" t="str">
        <x:f>IF(Weekly_View!$W35="","",Weekly_View!$G35)</x:f>
      </x:c>
      <x:c r="H35" s="16" t="str">
        <x:f>IF(Weekly_View!$W35="","",Weekly_View!$H35)</x:f>
      </x:c>
      <x:c r="I35" s="19" t="str">
        <x:f>IF(Weekly_View!$W35="","",Weekly_View!$K35)</x:f>
      </x:c>
      <x:c r="J35" s="19" t="str">
        <x:f>IF(Weekly_View!$W35="","",Weekly_View!$L35)</x:f>
      </x:c>
      <x:c r="K35" s="19" t="str">
        <x:f>IF(Weekly_View!$W35="","",SUM(Weekly_View!$M35,Weekly_View!$O35,Weekly_View!$Q35,Weekly_View!$S35,Weekly_View!$U35))</x:f>
      </x:c>
      <x:c r="L35" s="19" t="str">
        <x:f>IF(Weekly_View!$W35="","",IFERROR(AVERAGE(Weekly_View!$N35,Weekly_View!$P35,Weekly_View!$R35,Weekly_View!$T35,Weekly_View!$V35),""))</x:f>
      </x:c>
      <x:c r="M35" s="16" t="str">
        <x:f>IF(Weekly_View!$W35="","",Weekly_View!$W35)</x:f>
      </x:c>
      <x:c r="N35" s="16" t="str">
        <x:f>IF(Weekly_View!$W35="","",Weekly_View!$X35)</x:f>
      </x:c>
    </x:row>
    <x:row r="36">
      <x:c r="A36" s="37" t="str">
        <x:f>IF(Weekly_View!$W36="","",Weekly_View!$C36)</x:f>
      </x:c>
      <x:c r="B36" s="16" t="str">
        <x:f>IF(Weekly_View!$W36="","",Weekly_View!$A36)</x:f>
      </x:c>
      <x:c r="C36" s="16" t="str">
        <x:f>IF(Weekly_View!$W36="","",Weekly_View!$B36)</x:f>
      </x:c>
      <x:c r="D36" s="16" t="str">
        <x:f>IF(Weekly_View!$W36="","",Weekly_View!$D36)</x:f>
      </x:c>
      <x:c r="E36" s="16" t="str">
        <x:f>IF(Weekly_View!$W36="","",Weekly_View!$E36)</x:f>
      </x:c>
      <x:c r="F36" s="16" t="str">
        <x:f>IF(Weekly_View!$W36="","",Weekly_View!$F36)</x:f>
      </x:c>
      <x:c r="G36" s="16" t="str">
        <x:f>IF(Weekly_View!$W36="","",Weekly_View!$G36)</x:f>
      </x:c>
      <x:c r="H36" s="16" t="str">
        <x:f>IF(Weekly_View!$W36="","",Weekly_View!$H36)</x:f>
      </x:c>
      <x:c r="I36" s="19" t="str">
        <x:f>IF(Weekly_View!$W36="","",Weekly_View!$K36)</x:f>
      </x:c>
      <x:c r="J36" s="19" t="str">
        <x:f>IF(Weekly_View!$W36="","",Weekly_View!$L36)</x:f>
      </x:c>
      <x:c r="K36" s="19" t="str">
        <x:f>IF(Weekly_View!$W36="","",SUM(Weekly_View!$M36,Weekly_View!$O36,Weekly_View!$Q36,Weekly_View!$S36,Weekly_View!$U36))</x:f>
      </x:c>
      <x:c r="L36" s="19" t="str">
        <x:f>IF(Weekly_View!$W36="","",IFERROR(AVERAGE(Weekly_View!$N36,Weekly_View!$P36,Weekly_View!$R36,Weekly_View!$T36,Weekly_View!$V36),""))</x:f>
      </x:c>
      <x:c r="M36" s="16" t="str">
        <x:f>IF(Weekly_View!$W36="","",Weekly_View!$W36)</x:f>
      </x:c>
      <x:c r="N36" s="16" t="str">
        <x:f>IF(Weekly_View!$W36="","",Weekly_View!$X36)</x:f>
      </x:c>
    </x:row>
    <x:row r="37">
      <x:c r="A37" s="37" t="str">
        <x:f>IF(Weekly_View!$W37="","",Weekly_View!$C37)</x:f>
      </x:c>
      <x:c r="B37" s="16" t="str">
        <x:f>IF(Weekly_View!$W37="","",Weekly_View!$A37)</x:f>
      </x:c>
      <x:c r="C37" s="16" t="str">
        <x:f>IF(Weekly_View!$W37="","",Weekly_View!$B37)</x:f>
      </x:c>
      <x:c r="D37" s="16" t="str">
        <x:f>IF(Weekly_View!$W37="","",Weekly_View!$D37)</x:f>
      </x:c>
      <x:c r="E37" s="16" t="str">
        <x:f>IF(Weekly_View!$W37="","",Weekly_View!$E37)</x:f>
      </x:c>
      <x:c r="F37" s="16" t="str">
        <x:f>IF(Weekly_View!$W37="","",Weekly_View!$F37)</x:f>
      </x:c>
      <x:c r="G37" s="16" t="str">
        <x:f>IF(Weekly_View!$W37="","",Weekly_View!$G37)</x:f>
      </x:c>
      <x:c r="H37" s="16" t="str">
        <x:f>IF(Weekly_View!$W37="","",Weekly_View!$H37)</x:f>
      </x:c>
      <x:c r="I37" s="19" t="str">
        <x:f>IF(Weekly_View!$W37="","",Weekly_View!$K37)</x:f>
      </x:c>
      <x:c r="J37" s="19" t="str">
        <x:f>IF(Weekly_View!$W37="","",Weekly_View!$L37)</x:f>
      </x:c>
      <x:c r="K37" s="19" t="str">
        <x:f>IF(Weekly_View!$W37="","",SUM(Weekly_View!$M37,Weekly_View!$O37,Weekly_View!$Q37,Weekly_View!$S37,Weekly_View!$U37))</x:f>
      </x:c>
      <x:c r="L37" s="19" t="str">
        <x:f>IF(Weekly_View!$W37="","",IFERROR(AVERAGE(Weekly_View!$N37,Weekly_View!$P37,Weekly_View!$R37,Weekly_View!$T37,Weekly_View!$V37),""))</x:f>
      </x:c>
      <x:c r="M37" s="16" t="str">
        <x:f>IF(Weekly_View!$W37="","",Weekly_View!$W37)</x:f>
      </x:c>
      <x:c r="N37" s="16" t="str">
        <x:f>IF(Weekly_View!$W37="","",Weekly_View!$X37)</x:f>
      </x:c>
    </x:row>
    <x:row r="38">
      <x:c r="A38" s="37" t="str">
        <x:f>IF(Weekly_View!$W38="","",Weekly_View!$C38)</x:f>
      </x:c>
      <x:c r="B38" s="16" t="str">
        <x:f>IF(Weekly_View!$W38="","",Weekly_View!$A38)</x:f>
      </x:c>
      <x:c r="C38" s="16" t="str">
        <x:f>IF(Weekly_View!$W38="","",Weekly_View!$B38)</x:f>
      </x:c>
      <x:c r="D38" s="16" t="str">
        <x:f>IF(Weekly_View!$W38="","",Weekly_View!$D38)</x:f>
      </x:c>
      <x:c r="E38" s="16" t="str">
        <x:f>IF(Weekly_View!$W38="","",Weekly_View!$E38)</x:f>
      </x:c>
      <x:c r="F38" s="16" t="str">
        <x:f>IF(Weekly_View!$W38="","",Weekly_View!$F38)</x:f>
      </x:c>
      <x:c r="G38" s="16" t="str">
        <x:f>IF(Weekly_View!$W38="","",Weekly_View!$G38)</x:f>
      </x:c>
      <x:c r="H38" s="16" t="str">
        <x:f>IF(Weekly_View!$W38="","",Weekly_View!$H38)</x:f>
      </x:c>
      <x:c r="I38" s="19" t="str">
        <x:f>IF(Weekly_View!$W38="","",Weekly_View!$K38)</x:f>
      </x:c>
      <x:c r="J38" s="19" t="str">
        <x:f>IF(Weekly_View!$W38="","",Weekly_View!$L38)</x:f>
      </x:c>
      <x:c r="K38" s="19" t="str">
        <x:f>IF(Weekly_View!$W38="","",SUM(Weekly_View!$M38,Weekly_View!$O38,Weekly_View!$Q38,Weekly_View!$S38,Weekly_View!$U38))</x:f>
      </x:c>
      <x:c r="L38" s="19" t="str">
        <x:f>IF(Weekly_View!$W38="","",IFERROR(AVERAGE(Weekly_View!$N38,Weekly_View!$P38,Weekly_View!$R38,Weekly_View!$T38,Weekly_View!$V38),""))</x:f>
      </x:c>
      <x:c r="M38" s="16" t="str">
        <x:f>IF(Weekly_View!$W38="","",Weekly_View!$W38)</x:f>
      </x:c>
      <x:c r="N38" s="16" t="str">
        <x:f>IF(Weekly_View!$W38="","",Weekly_View!$X38)</x:f>
      </x:c>
    </x:row>
    <x:row r="39">
      <x:c r="A39" s="37" t="str">
        <x:f>IF(Weekly_View!$W39="","",Weekly_View!$C39)</x:f>
      </x:c>
      <x:c r="B39" s="16" t="str">
        <x:f>IF(Weekly_View!$W39="","",Weekly_View!$A39)</x:f>
      </x:c>
      <x:c r="C39" s="16" t="str">
        <x:f>IF(Weekly_View!$W39="","",Weekly_View!$B39)</x:f>
      </x:c>
      <x:c r="D39" s="16" t="str">
        <x:f>IF(Weekly_View!$W39="","",Weekly_View!$D39)</x:f>
      </x:c>
      <x:c r="E39" s="16" t="str">
        <x:f>IF(Weekly_View!$W39="","",Weekly_View!$E39)</x:f>
      </x:c>
      <x:c r="F39" s="16" t="str">
        <x:f>IF(Weekly_View!$W39="","",Weekly_View!$F39)</x:f>
      </x:c>
      <x:c r="G39" s="16" t="str">
        <x:f>IF(Weekly_View!$W39="","",Weekly_View!$G39)</x:f>
      </x:c>
      <x:c r="H39" s="16" t="str">
        <x:f>IF(Weekly_View!$W39="","",Weekly_View!$H39)</x:f>
      </x:c>
      <x:c r="I39" s="19" t="str">
        <x:f>IF(Weekly_View!$W39="","",Weekly_View!$K39)</x:f>
      </x:c>
      <x:c r="J39" s="19" t="str">
        <x:f>IF(Weekly_View!$W39="","",Weekly_View!$L39)</x:f>
      </x:c>
      <x:c r="K39" s="19" t="str">
        <x:f>IF(Weekly_View!$W39="","",SUM(Weekly_View!$M39,Weekly_View!$O39,Weekly_View!$Q39,Weekly_View!$S39,Weekly_View!$U39))</x:f>
      </x:c>
      <x:c r="L39" s="19" t="str">
        <x:f>IF(Weekly_View!$W39="","",IFERROR(AVERAGE(Weekly_View!$N39,Weekly_View!$P39,Weekly_View!$R39,Weekly_View!$T39,Weekly_View!$V39),""))</x:f>
      </x:c>
      <x:c r="M39" s="16" t="str">
        <x:f>IF(Weekly_View!$W39="","",Weekly_View!$W39)</x:f>
      </x:c>
      <x:c r="N39" s="16" t="str">
        <x:f>IF(Weekly_View!$W39="","",Weekly_View!$X39)</x:f>
      </x:c>
    </x:row>
    <x:row r="40">
      <x:c r="A40" s="37" t="str">
        <x:f>IF(Weekly_View!$W40="","",Weekly_View!$C40)</x:f>
      </x:c>
      <x:c r="B40" s="16" t="str">
        <x:f>IF(Weekly_View!$W40="","",Weekly_View!$A40)</x:f>
      </x:c>
      <x:c r="C40" s="16" t="str">
        <x:f>IF(Weekly_View!$W40="","",Weekly_View!$B40)</x:f>
      </x:c>
      <x:c r="D40" s="16" t="str">
        <x:f>IF(Weekly_View!$W40="","",Weekly_View!$D40)</x:f>
      </x:c>
      <x:c r="E40" s="16" t="str">
        <x:f>IF(Weekly_View!$W40="","",Weekly_View!$E40)</x:f>
      </x:c>
      <x:c r="F40" s="16" t="str">
        <x:f>IF(Weekly_View!$W40="","",Weekly_View!$F40)</x:f>
      </x:c>
      <x:c r="G40" s="16" t="str">
        <x:f>IF(Weekly_View!$W40="","",Weekly_View!$G40)</x:f>
      </x:c>
      <x:c r="H40" s="16" t="str">
        <x:f>IF(Weekly_View!$W40="","",Weekly_View!$H40)</x:f>
      </x:c>
      <x:c r="I40" s="19" t="str">
        <x:f>IF(Weekly_View!$W40="","",Weekly_View!$K40)</x:f>
      </x:c>
      <x:c r="J40" s="19" t="str">
        <x:f>IF(Weekly_View!$W40="","",Weekly_View!$L40)</x:f>
      </x:c>
      <x:c r="K40" s="19" t="str">
        <x:f>IF(Weekly_View!$W40="","",SUM(Weekly_View!$M40,Weekly_View!$O40,Weekly_View!$Q40,Weekly_View!$S40,Weekly_View!$U40))</x:f>
      </x:c>
      <x:c r="L40" s="19" t="str">
        <x:f>IF(Weekly_View!$W40="","",IFERROR(AVERAGE(Weekly_View!$N40,Weekly_View!$P40,Weekly_View!$R40,Weekly_View!$T40,Weekly_View!$V40),""))</x:f>
      </x:c>
      <x:c r="M40" s="16" t="str">
        <x:f>IF(Weekly_View!$W40="","",Weekly_View!$W40)</x:f>
      </x:c>
      <x:c r="N40" s="16" t="str">
        <x:f>IF(Weekly_View!$W40="","",Weekly_View!$X40)</x:f>
      </x:c>
    </x:row>
    <x:row r="41">
      <x:c r="A41" s="37" t="str">
        <x:f>IF(Weekly_View!$W41="","",Weekly_View!$C41)</x:f>
      </x:c>
      <x:c r="B41" s="16" t="str">
        <x:f>IF(Weekly_View!$W41="","",Weekly_View!$A41)</x:f>
      </x:c>
      <x:c r="C41" s="16" t="str">
        <x:f>IF(Weekly_View!$W41="","",Weekly_View!$B41)</x:f>
      </x:c>
      <x:c r="D41" s="16" t="str">
        <x:f>IF(Weekly_View!$W41="","",Weekly_View!$D41)</x:f>
      </x:c>
      <x:c r="E41" s="16" t="str">
        <x:f>IF(Weekly_View!$W41="","",Weekly_View!$E41)</x:f>
      </x:c>
      <x:c r="F41" s="16" t="str">
        <x:f>IF(Weekly_View!$W41="","",Weekly_View!$F41)</x:f>
      </x:c>
      <x:c r="G41" s="16" t="str">
        <x:f>IF(Weekly_View!$W41="","",Weekly_View!$G41)</x:f>
      </x:c>
      <x:c r="H41" s="16" t="str">
        <x:f>IF(Weekly_View!$W41="","",Weekly_View!$H41)</x:f>
      </x:c>
      <x:c r="I41" s="19" t="str">
        <x:f>IF(Weekly_View!$W41="","",Weekly_View!$K41)</x:f>
      </x:c>
      <x:c r="J41" s="19" t="str">
        <x:f>IF(Weekly_View!$W41="","",Weekly_View!$L41)</x:f>
      </x:c>
      <x:c r="K41" s="19" t="str">
        <x:f>IF(Weekly_View!$W41="","",SUM(Weekly_View!$M41,Weekly_View!$O41,Weekly_View!$Q41,Weekly_View!$S41,Weekly_View!$U41))</x:f>
      </x:c>
      <x:c r="L41" s="19" t="str">
        <x:f>IF(Weekly_View!$W41="","",IFERROR(AVERAGE(Weekly_View!$N41,Weekly_View!$P41,Weekly_View!$R41,Weekly_View!$T41,Weekly_View!$V41),""))</x:f>
      </x:c>
      <x:c r="M41" s="16" t="str">
        <x:f>IF(Weekly_View!$W41="","",Weekly_View!$W41)</x:f>
      </x:c>
      <x:c r="N41" s="16" t="str">
        <x:f>IF(Weekly_View!$W41="","",Weekly_View!$X41)</x:f>
      </x:c>
    </x:row>
    <x:row r="42">
      <x:c r="A42" s="37" t="str">
        <x:f>IF(Weekly_View!$W42="","",Weekly_View!$C42)</x:f>
      </x:c>
      <x:c r="B42" s="16" t="str">
        <x:f>IF(Weekly_View!$W42="","",Weekly_View!$A42)</x:f>
      </x:c>
      <x:c r="C42" s="16" t="str">
        <x:f>IF(Weekly_View!$W42="","",Weekly_View!$B42)</x:f>
      </x:c>
      <x:c r="D42" s="16" t="str">
        <x:f>IF(Weekly_View!$W42="","",Weekly_View!$D42)</x:f>
      </x:c>
      <x:c r="E42" s="16" t="str">
        <x:f>IF(Weekly_View!$W42="","",Weekly_View!$E42)</x:f>
      </x:c>
      <x:c r="F42" s="16" t="str">
        <x:f>IF(Weekly_View!$W42="","",Weekly_View!$F42)</x:f>
      </x:c>
      <x:c r="G42" s="16" t="str">
        <x:f>IF(Weekly_View!$W42="","",Weekly_View!$G42)</x:f>
      </x:c>
      <x:c r="H42" s="16" t="str">
        <x:f>IF(Weekly_View!$W42="","",Weekly_View!$H42)</x:f>
      </x:c>
      <x:c r="I42" s="19" t="str">
        <x:f>IF(Weekly_View!$W42="","",Weekly_View!$K42)</x:f>
      </x:c>
      <x:c r="J42" s="19" t="str">
        <x:f>IF(Weekly_View!$W42="","",Weekly_View!$L42)</x:f>
      </x:c>
      <x:c r="K42" s="19" t="str">
        <x:f>IF(Weekly_View!$W42="","",SUM(Weekly_View!$M42,Weekly_View!$O42,Weekly_View!$Q42,Weekly_View!$S42,Weekly_View!$U42))</x:f>
      </x:c>
      <x:c r="L42" s="19" t="str">
        <x:f>IF(Weekly_View!$W42="","",IFERROR(AVERAGE(Weekly_View!$N42,Weekly_View!$P42,Weekly_View!$R42,Weekly_View!$T42,Weekly_View!$V42),""))</x:f>
      </x:c>
      <x:c r="M42" s="16" t="str">
        <x:f>IF(Weekly_View!$W42="","",Weekly_View!$W42)</x:f>
      </x:c>
      <x:c r="N42" s="16" t="str">
        <x:f>IF(Weekly_View!$W42="","",Weekly_View!$X42)</x:f>
      </x:c>
    </x:row>
    <x:row r="43">
      <x:c r="A43" s="37" t="str">
        <x:f>IF(Weekly_View!$W43="","",Weekly_View!$C43)</x:f>
      </x:c>
      <x:c r="B43" s="16" t="str">
        <x:f>IF(Weekly_View!$W43="","",Weekly_View!$A43)</x:f>
      </x:c>
      <x:c r="C43" s="16" t="str">
        <x:f>IF(Weekly_View!$W43="","",Weekly_View!$B43)</x:f>
      </x:c>
      <x:c r="D43" s="16" t="str">
        <x:f>IF(Weekly_View!$W43="","",Weekly_View!$D43)</x:f>
      </x:c>
      <x:c r="E43" s="16" t="str">
        <x:f>IF(Weekly_View!$W43="","",Weekly_View!$E43)</x:f>
      </x:c>
      <x:c r="F43" s="16" t="str">
        <x:f>IF(Weekly_View!$W43="","",Weekly_View!$F43)</x:f>
      </x:c>
      <x:c r="G43" s="16" t="str">
        <x:f>IF(Weekly_View!$W43="","",Weekly_View!$G43)</x:f>
      </x:c>
      <x:c r="H43" s="16" t="str">
        <x:f>IF(Weekly_View!$W43="","",Weekly_View!$H43)</x:f>
      </x:c>
      <x:c r="I43" s="19" t="str">
        <x:f>IF(Weekly_View!$W43="","",Weekly_View!$K43)</x:f>
      </x:c>
      <x:c r="J43" s="19" t="str">
        <x:f>IF(Weekly_View!$W43="","",Weekly_View!$L43)</x:f>
      </x:c>
      <x:c r="K43" s="19" t="str">
        <x:f>IF(Weekly_View!$W43="","",SUM(Weekly_View!$M43,Weekly_View!$O43,Weekly_View!$Q43,Weekly_View!$S43,Weekly_View!$U43))</x:f>
      </x:c>
      <x:c r="L43" s="19" t="str">
        <x:f>IF(Weekly_View!$W43="","",IFERROR(AVERAGE(Weekly_View!$N43,Weekly_View!$P43,Weekly_View!$R43,Weekly_View!$T43,Weekly_View!$V43),""))</x:f>
      </x:c>
      <x:c r="M43" s="16" t="str">
        <x:f>IF(Weekly_View!$W43="","",Weekly_View!$W43)</x:f>
      </x:c>
      <x:c r="N43" s="16" t="str">
        <x:f>IF(Weekly_View!$W43="","",Weekly_View!$X43)</x:f>
      </x:c>
    </x:row>
    <x:row r="44">
      <x:c r="A44" s="37" t="str">
        <x:f>IF(Weekly_View!$W44="","",Weekly_View!$C44)</x:f>
      </x:c>
      <x:c r="B44" s="16" t="str">
        <x:f>IF(Weekly_View!$W44="","",Weekly_View!$A44)</x:f>
      </x:c>
      <x:c r="C44" s="16" t="str">
        <x:f>IF(Weekly_View!$W44="","",Weekly_View!$B44)</x:f>
      </x:c>
      <x:c r="D44" s="16" t="str">
        <x:f>IF(Weekly_View!$W44="","",Weekly_View!$D44)</x:f>
      </x:c>
      <x:c r="E44" s="16" t="str">
        <x:f>IF(Weekly_View!$W44="","",Weekly_View!$E44)</x:f>
      </x:c>
      <x:c r="F44" s="16" t="str">
        <x:f>IF(Weekly_View!$W44="","",Weekly_View!$F44)</x:f>
      </x:c>
      <x:c r="G44" s="16" t="str">
        <x:f>IF(Weekly_View!$W44="","",Weekly_View!$G44)</x:f>
      </x:c>
      <x:c r="H44" s="16" t="str">
        <x:f>IF(Weekly_View!$W44="","",Weekly_View!$H44)</x:f>
      </x:c>
      <x:c r="I44" s="19" t="str">
        <x:f>IF(Weekly_View!$W44="","",Weekly_View!$K44)</x:f>
      </x:c>
      <x:c r="J44" s="19" t="str">
        <x:f>IF(Weekly_View!$W44="","",Weekly_View!$L44)</x:f>
      </x:c>
      <x:c r="K44" s="19" t="str">
        <x:f>IF(Weekly_View!$W44="","",SUM(Weekly_View!$M44,Weekly_View!$O44,Weekly_View!$Q44,Weekly_View!$S44,Weekly_View!$U44))</x:f>
      </x:c>
      <x:c r="L44" s="19" t="str">
        <x:f>IF(Weekly_View!$W44="","",IFERROR(AVERAGE(Weekly_View!$N44,Weekly_View!$P44,Weekly_View!$R44,Weekly_View!$T44,Weekly_View!$V44),""))</x:f>
      </x:c>
      <x:c r="M44" s="16" t="str">
        <x:f>IF(Weekly_View!$W44="","",Weekly_View!$W44)</x:f>
      </x:c>
      <x:c r="N44" s="16" t="str">
        <x:f>IF(Weekly_View!$W44="","",Weekly_View!$X44)</x:f>
      </x:c>
    </x:row>
    <x:row r="45">
      <x:c r="A45" s="37" t="str">
        <x:f>IF(Weekly_View!$W45="","",Weekly_View!$C45)</x:f>
      </x:c>
      <x:c r="B45" s="16" t="str">
        <x:f>IF(Weekly_View!$W45="","",Weekly_View!$A45)</x:f>
      </x:c>
      <x:c r="C45" s="16" t="str">
        <x:f>IF(Weekly_View!$W45="","",Weekly_View!$B45)</x:f>
      </x:c>
      <x:c r="D45" s="16" t="str">
        <x:f>IF(Weekly_View!$W45="","",Weekly_View!$D45)</x:f>
      </x:c>
      <x:c r="E45" s="16" t="str">
        <x:f>IF(Weekly_View!$W45="","",Weekly_View!$E45)</x:f>
      </x:c>
      <x:c r="F45" s="16" t="str">
        <x:f>IF(Weekly_View!$W45="","",Weekly_View!$F45)</x:f>
      </x:c>
      <x:c r="G45" s="16" t="str">
        <x:f>IF(Weekly_View!$W45="","",Weekly_View!$G45)</x:f>
      </x:c>
      <x:c r="H45" s="16" t="str">
        <x:f>IF(Weekly_View!$W45="","",Weekly_View!$H45)</x:f>
      </x:c>
      <x:c r="I45" s="19" t="str">
        <x:f>IF(Weekly_View!$W45="","",Weekly_View!$K45)</x:f>
      </x:c>
      <x:c r="J45" s="19" t="str">
        <x:f>IF(Weekly_View!$W45="","",Weekly_View!$L45)</x:f>
      </x:c>
      <x:c r="K45" s="19" t="str">
        <x:f>IF(Weekly_View!$W45="","",SUM(Weekly_View!$M45,Weekly_View!$O45,Weekly_View!$Q45,Weekly_View!$S45,Weekly_View!$U45))</x:f>
      </x:c>
      <x:c r="L45" s="19" t="str">
        <x:f>IF(Weekly_View!$W45="","",IFERROR(AVERAGE(Weekly_View!$N45,Weekly_View!$P45,Weekly_View!$R45,Weekly_View!$T45,Weekly_View!$V45),""))</x:f>
      </x:c>
      <x:c r="M45" s="16" t="str">
        <x:f>IF(Weekly_View!$W45="","",Weekly_View!$W45)</x:f>
      </x:c>
      <x:c r="N45" s="16" t="str">
        <x:f>IF(Weekly_View!$W45="","",Weekly_View!$X45)</x:f>
      </x:c>
    </x:row>
    <x:row r="46">
      <x:c r="A46" s="37" t="str">
        <x:f>IF(Weekly_View!$W46="","",Weekly_View!$C46)</x:f>
      </x:c>
      <x:c r="B46" s="16" t="str">
        <x:f>IF(Weekly_View!$W46="","",Weekly_View!$A46)</x:f>
      </x:c>
      <x:c r="C46" s="16" t="str">
        <x:f>IF(Weekly_View!$W46="","",Weekly_View!$B46)</x:f>
      </x:c>
      <x:c r="D46" s="16" t="str">
        <x:f>IF(Weekly_View!$W46="","",Weekly_View!$D46)</x:f>
      </x:c>
      <x:c r="E46" s="16" t="str">
        <x:f>IF(Weekly_View!$W46="","",Weekly_View!$E46)</x:f>
      </x:c>
      <x:c r="F46" s="16" t="str">
        <x:f>IF(Weekly_View!$W46="","",Weekly_View!$F46)</x:f>
      </x:c>
      <x:c r="G46" s="16" t="str">
        <x:f>IF(Weekly_View!$W46="","",Weekly_View!$G46)</x:f>
      </x:c>
      <x:c r="H46" s="16" t="str">
        <x:f>IF(Weekly_View!$W46="","",Weekly_View!$H46)</x:f>
      </x:c>
      <x:c r="I46" s="19" t="str">
        <x:f>IF(Weekly_View!$W46="","",Weekly_View!$K46)</x:f>
      </x:c>
      <x:c r="J46" s="19" t="str">
        <x:f>IF(Weekly_View!$W46="","",Weekly_View!$L46)</x:f>
      </x:c>
      <x:c r="K46" s="19" t="str">
        <x:f>IF(Weekly_View!$W46="","",SUM(Weekly_View!$M46,Weekly_View!$O46,Weekly_View!$Q46,Weekly_View!$S46,Weekly_View!$U46))</x:f>
      </x:c>
      <x:c r="L46" s="19" t="str">
        <x:f>IF(Weekly_View!$W46="","",IFERROR(AVERAGE(Weekly_View!$N46,Weekly_View!$P46,Weekly_View!$R46,Weekly_View!$T46,Weekly_View!$V46),""))</x:f>
      </x:c>
      <x:c r="M46" s="16" t="str">
        <x:f>IF(Weekly_View!$W46="","",Weekly_View!$W46)</x:f>
      </x:c>
      <x:c r="N46" s="16" t="str">
        <x:f>IF(Weekly_View!$W46="","",Weekly_View!$X46)</x:f>
      </x:c>
    </x:row>
    <x:row r="47">
      <x:c r="A47" s="37" t="str">
        <x:f>IF(Weekly_View!$W47="","",Weekly_View!$C47)</x:f>
      </x:c>
      <x:c r="B47" s="16" t="str">
        <x:f>IF(Weekly_View!$W47="","",Weekly_View!$A47)</x:f>
      </x:c>
      <x:c r="C47" s="16" t="str">
        <x:f>IF(Weekly_View!$W47="","",Weekly_View!$B47)</x:f>
      </x:c>
      <x:c r="D47" s="16" t="str">
        <x:f>IF(Weekly_View!$W47="","",Weekly_View!$D47)</x:f>
      </x:c>
      <x:c r="E47" s="16" t="str">
        <x:f>IF(Weekly_View!$W47="","",Weekly_View!$E47)</x:f>
      </x:c>
      <x:c r="F47" s="16" t="str">
        <x:f>IF(Weekly_View!$W47="","",Weekly_View!$F47)</x:f>
      </x:c>
      <x:c r="G47" s="16" t="str">
        <x:f>IF(Weekly_View!$W47="","",Weekly_View!$G47)</x:f>
      </x:c>
      <x:c r="H47" s="16" t="str">
        <x:f>IF(Weekly_View!$W47="","",Weekly_View!$H47)</x:f>
      </x:c>
      <x:c r="I47" s="19" t="str">
        <x:f>IF(Weekly_View!$W47="","",Weekly_View!$K47)</x:f>
      </x:c>
      <x:c r="J47" s="19" t="str">
        <x:f>IF(Weekly_View!$W47="","",Weekly_View!$L47)</x:f>
      </x:c>
      <x:c r="K47" s="19" t="str">
        <x:f>IF(Weekly_View!$W47="","",SUM(Weekly_View!$M47,Weekly_View!$O47,Weekly_View!$Q47,Weekly_View!$S47,Weekly_View!$U47))</x:f>
      </x:c>
      <x:c r="L47" s="19" t="str">
        <x:f>IF(Weekly_View!$W47="","",IFERROR(AVERAGE(Weekly_View!$N47,Weekly_View!$P47,Weekly_View!$R47,Weekly_View!$T47,Weekly_View!$V47),""))</x:f>
      </x:c>
      <x:c r="M47" s="16" t="str">
        <x:f>IF(Weekly_View!$W47="","",Weekly_View!$W47)</x:f>
      </x:c>
      <x:c r="N47" s="16" t="str">
        <x:f>IF(Weekly_View!$W47="","",Weekly_View!$X47)</x:f>
      </x:c>
    </x:row>
    <x:row r="48">
      <x:c r="A48" s="37" t="str">
        <x:f>IF(Weekly_View!$W48="","",Weekly_View!$C48)</x:f>
      </x:c>
      <x:c r="B48" s="16" t="str">
        <x:f>IF(Weekly_View!$W48="","",Weekly_View!$A48)</x:f>
      </x:c>
      <x:c r="C48" s="16" t="str">
        <x:f>IF(Weekly_View!$W48="","",Weekly_View!$B48)</x:f>
      </x:c>
      <x:c r="D48" s="16" t="str">
        <x:f>IF(Weekly_View!$W48="","",Weekly_View!$D48)</x:f>
      </x:c>
      <x:c r="E48" s="16" t="str">
        <x:f>IF(Weekly_View!$W48="","",Weekly_View!$E48)</x:f>
      </x:c>
      <x:c r="F48" s="16" t="str">
        <x:f>IF(Weekly_View!$W48="","",Weekly_View!$F48)</x:f>
      </x:c>
      <x:c r="G48" s="16" t="str">
        <x:f>IF(Weekly_View!$W48="","",Weekly_View!$G48)</x:f>
      </x:c>
      <x:c r="H48" s="16" t="str">
        <x:f>IF(Weekly_View!$W48="","",Weekly_View!$H48)</x:f>
      </x:c>
      <x:c r="I48" s="19" t="str">
        <x:f>IF(Weekly_View!$W48="","",Weekly_View!$K48)</x:f>
      </x:c>
      <x:c r="J48" s="19" t="str">
        <x:f>IF(Weekly_View!$W48="","",Weekly_View!$L48)</x:f>
      </x:c>
      <x:c r="K48" s="19" t="str">
        <x:f>IF(Weekly_View!$W48="","",SUM(Weekly_View!$M48,Weekly_View!$O48,Weekly_View!$Q48,Weekly_View!$S48,Weekly_View!$U48))</x:f>
      </x:c>
      <x:c r="L48" s="19" t="str">
        <x:f>IF(Weekly_View!$W48="","",IFERROR(AVERAGE(Weekly_View!$N48,Weekly_View!$P48,Weekly_View!$R48,Weekly_View!$T48,Weekly_View!$V48),""))</x:f>
      </x:c>
      <x:c r="M48" s="16" t="str">
        <x:f>IF(Weekly_View!$W48="","",Weekly_View!$W48)</x:f>
      </x:c>
      <x:c r="N48" s="16" t="str">
        <x:f>IF(Weekly_View!$W48="","",Weekly_View!$X48)</x:f>
      </x:c>
    </x:row>
    <x:row r="49">
      <x:c r="A49" s="37" t="str">
        <x:f>IF(Weekly_View!$W49="","",Weekly_View!$C49)</x:f>
      </x:c>
      <x:c r="B49" s="16" t="str">
        <x:f>IF(Weekly_View!$W49="","",Weekly_View!$A49)</x:f>
      </x:c>
      <x:c r="C49" s="16" t="str">
        <x:f>IF(Weekly_View!$W49="","",Weekly_View!$B49)</x:f>
      </x:c>
      <x:c r="D49" s="16" t="str">
        <x:f>IF(Weekly_View!$W49="","",Weekly_View!$D49)</x:f>
      </x:c>
      <x:c r="E49" s="16" t="str">
        <x:f>IF(Weekly_View!$W49="","",Weekly_View!$E49)</x:f>
      </x:c>
      <x:c r="F49" s="16" t="str">
        <x:f>IF(Weekly_View!$W49="","",Weekly_View!$F49)</x:f>
      </x:c>
      <x:c r="G49" s="16" t="str">
        <x:f>IF(Weekly_View!$W49="","",Weekly_View!$G49)</x:f>
      </x:c>
      <x:c r="H49" s="16" t="str">
        <x:f>IF(Weekly_View!$W49="","",Weekly_View!$H49)</x:f>
      </x:c>
      <x:c r="I49" s="19" t="str">
        <x:f>IF(Weekly_View!$W49="","",Weekly_View!$K49)</x:f>
      </x:c>
      <x:c r="J49" s="19" t="str">
        <x:f>IF(Weekly_View!$W49="","",Weekly_View!$L49)</x:f>
      </x:c>
      <x:c r="K49" s="19" t="str">
        <x:f>IF(Weekly_View!$W49="","",SUM(Weekly_View!$M49,Weekly_View!$O49,Weekly_View!$Q49,Weekly_View!$S49,Weekly_View!$U49))</x:f>
      </x:c>
      <x:c r="L49" s="19" t="str">
        <x:f>IF(Weekly_View!$W49="","",IFERROR(AVERAGE(Weekly_View!$N49,Weekly_View!$P49,Weekly_View!$R49,Weekly_View!$T49,Weekly_View!$V49),""))</x:f>
      </x:c>
      <x:c r="M49" s="16" t="str">
        <x:f>IF(Weekly_View!$W49="","",Weekly_View!$W49)</x:f>
      </x:c>
      <x:c r="N49" s="16" t="str">
        <x:f>IF(Weekly_View!$W49="","",Weekly_View!$X49)</x:f>
      </x:c>
    </x:row>
    <x:row r="50">
      <x:c r="A50" s="37" t="str">
        <x:f>IF(Weekly_View!$W50="","",Weekly_View!$C50)</x:f>
      </x:c>
      <x:c r="B50" s="16" t="str">
        <x:f>IF(Weekly_View!$W50="","",Weekly_View!$A50)</x:f>
      </x:c>
      <x:c r="C50" s="16" t="str">
        <x:f>IF(Weekly_View!$W50="","",Weekly_View!$B50)</x:f>
      </x:c>
      <x:c r="D50" s="16" t="str">
        <x:f>IF(Weekly_View!$W50="","",Weekly_View!$D50)</x:f>
      </x:c>
      <x:c r="E50" s="16" t="str">
        <x:f>IF(Weekly_View!$W50="","",Weekly_View!$E50)</x:f>
      </x:c>
      <x:c r="F50" s="16" t="str">
        <x:f>IF(Weekly_View!$W50="","",Weekly_View!$F50)</x:f>
      </x:c>
      <x:c r="G50" s="16" t="str">
        <x:f>IF(Weekly_View!$W50="","",Weekly_View!$G50)</x:f>
      </x:c>
      <x:c r="H50" s="16" t="str">
        <x:f>IF(Weekly_View!$W50="","",Weekly_View!$H50)</x:f>
      </x:c>
      <x:c r="I50" s="19" t="str">
        <x:f>IF(Weekly_View!$W50="","",Weekly_View!$K50)</x:f>
      </x:c>
      <x:c r="J50" s="19" t="str">
        <x:f>IF(Weekly_View!$W50="","",Weekly_View!$L50)</x:f>
      </x:c>
      <x:c r="K50" s="19" t="str">
        <x:f>IF(Weekly_View!$W50="","",SUM(Weekly_View!$M50,Weekly_View!$O50,Weekly_View!$Q50,Weekly_View!$S50,Weekly_View!$U50))</x:f>
      </x:c>
      <x:c r="L50" s="19" t="str">
        <x:f>IF(Weekly_View!$W50="","",IFERROR(AVERAGE(Weekly_View!$N50,Weekly_View!$P50,Weekly_View!$R50,Weekly_View!$T50,Weekly_View!$V50),""))</x:f>
      </x:c>
      <x:c r="M50" s="16" t="str">
        <x:f>IF(Weekly_View!$W50="","",Weekly_View!$W50)</x:f>
      </x:c>
      <x:c r="N50" s="16" t="str">
        <x:f>IF(Weekly_View!$W50="","",Weekly_View!$X50)</x:f>
      </x:c>
    </x:row>
    <x:row r="51">
      <x:c r="A51" s="37" t="str">
        <x:f>IF(Weekly_View!$W51="","",Weekly_View!$C51)</x:f>
      </x:c>
      <x:c r="B51" s="16" t="str">
        <x:f>IF(Weekly_View!$W51="","",Weekly_View!$A51)</x:f>
      </x:c>
      <x:c r="C51" s="16" t="str">
        <x:f>IF(Weekly_View!$W51="","",Weekly_View!$B51)</x:f>
      </x:c>
      <x:c r="D51" s="16" t="str">
        <x:f>IF(Weekly_View!$W51="","",Weekly_View!$D51)</x:f>
      </x:c>
      <x:c r="E51" s="16" t="str">
        <x:f>IF(Weekly_View!$W51="","",Weekly_View!$E51)</x:f>
      </x:c>
      <x:c r="F51" s="16" t="str">
        <x:f>IF(Weekly_View!$W51="","",Weekly_View!$F51)</x:f>
      </x:c>
      <x:c r="G51" s="16" t="str">
        <x:f>IF(Weekly_View!$W51="","",Weekly_View!$G51)</x:f>
      </x:c>
      <x:c r="H51" s="16" t="str">
        <x:f>IF(Weekly_View!$W51="","",Weekly_View!$H51)</x:f>
      </x:c>
      <x:c r="I51" s="19" t="str">
        <x:f>IF(Weekly_View!$W51="","",Weekly_View!$K51)</x:f>
      </x:c>
      <x:c r="J51" s="19" t="str">
        <x:f>IF(Weekly_View!$W51="","",Weekly_View!$L51)</x:f>
      </x:c>
      <x:c r="K51" s="19" t="str">
        <x:f>IF(Weekly_View!$W51="","",SUM(Weekly_View!$M51,Weekly_View!$O51,Weekly_View!$Q51,Weekly_View!$S51,Weekly_View!$U51))</x:f>
      </x:c>
      <x:c r="L51" s="19" t="str">
        <x:f>IF(Weekly_View!$W51="","",IFERROR(AVERAGE(Weekly_View!$N51,Weekly_View!$P51,Weekly_View!$R51,Weekly_View!$T51,Weekly_View!$V51),""))</x:f>
      </x:c>
      <x:c r="M51" s="16" t="str">
        <x:f>IF(Weekly_View!$W51="","",Weekly_View!$W51)</x:f>
      </x:c>
      <x:c r="N51" s="16" t="str">
        <x:f>IF(Weekly_View!$W51="","",Weekly_View!$X51)</x:f>
      </x:c>
    </x:row>
    <x:row r="52">
      <x:c r="A52" s="37" t="str">
        <x:f>IF(Weekly_View!$W52="","",Weekly_View!$C52)</x:f>
      </x:c>
      <x:c r="B52" s="16" t="str">
        <x:f>IF(Weekly_View!$W52="","",Weekly_View!$A52)</x:f>
      </x:c>
      <x:c r="C52" s="16" t="str">
        <x:f>IF(Weekly_View!$W52="","",Weekly_View!$B52)</x:f>
      </x:c>
      <x:c r="D52" s="16" t="str">
        <x:f>IF(Weekly_View!$W52="","",Weekly_View!$D52)</x:f>
      </x:c>
      <x:c r="E52" s="16" t="str">
        <x:f>IF(Weekly_View!$W52="","",Weekly_View!$E52)</x:f>
      </x:c>
      <x:c r="F52" s="16" t="str">
        <x:f>IF(Weekly_View!$W52="","",Weekly_View!$F52)</x:f>
      </x:c>
      <x:c r="G52" s="16" t="str">
        <x:f>IF(Weekly_View!$W52="","",Weekly_View!$G52)</x:f>
      </x:c>
      <x:c r="H52" s="16" t="str">
        <x:f>IF(Weekly_View!$W52="","",Weekly_View!$H52)</x:f>
      </x:c>
      <x:c r="I52" s="19" t="str">
        <x:f>IF(Weekly_View!$W52="","",Weekly_View!$K52)</x:f>
      </x:c>
      <x:c r="J52" s="19" t="str">
        <x:f>IF(Weekly_View!$W52="","",Weekly_View!$L52)</x:f>
      </x:c>
      <x:c r="K52" s="19" t="str">
        <x:f>IF(Weekly_View!$W52="","",SUM(Weekly_View!$M52,Weekly_View!$O52,Weekly_View!$Q52,Weekly_View!$S52,Weekly_View!$U52))</x:f>
      </x:c>
      <x:c r="L52" s="19" t="str">
        <x:f>IF(Weekly_View!$W52="","",IFERROR(AVERAGE(Weekly_View!$N52,Weekly_View!$P52,Weekly_View!$R52,Weekly_View!$T52,Weekly_View!$V52),""))</x:f>
      </x:c>
      <x:c r="M52" s="16" t="str">
        <x:f>IF(Weekly_View!$W52="","",Weekly_View!$W52)</x:f>
      </x:c>
      <x:c r="N52" s="16" t="str">
        <x:f>IF(Weekly_View!$W52="","",Weekly_View!$X52)</x:f>
      </x:c>
    </x:row>
    <x:row r="53">
      <x:c r="A53" s="37" t="str">
        <x:f>IF(Weekly_View!$W53="","",Weekly_View!$C53)</x:f>
      </x:c>
      <x:c r="B53" s="16" t="str">
        <x:f>IF(Weekly_View!$W53="","",Weekly_View!$A53)</x:f>
      </x:c>
      <x:c r="C53" s="16" t="str">
        <x:f>IF(Weekly_View!$W53="","",Weekly_View!$B53)</x:f>
      </x:c>
      <x:c r="D53" s="16" t="str">
        <x:f>IF(Weekly_View!$W53="","",Weekly_View!$D53)</x:f>
      </x:c>
      <x:c r="E53" s="16" t="str">
        <x:f>IF(Weekly_View!$W53="","",Weekly_View!$E53)</x:f>
      </x:c>
      <x:c r="F53" s="16" t="str">
        <x:f>IF(Weekly_View!$W53="","",Weekly_View!$F53)</x:f>
      </x:c>
      <x:c r="G53" s="16" t="str">
        <x:f>IF(Weekly_View!$W53="","",Weekly_View!$G53)</x:f>
      </x:c>
      <x:c r="H53" s="16" t="str">
        <x:f>IF(Weekly_View!$W53="","",Weekly_View!$H53)</x:f>
      </x:c>
      <x:c r="I53" s="19" t="str">
        <x:f>IF(Weekly_View!$W53="","",Weekly_View!$K53)</x:f>
      </x:c>
      <x:c r="J53" s="19" t="str">
        <x:f>IF(Weekly_View!$W53="","",Weekly_View!$L53)</x:f>
      </x:c>
      <x:c r="K53" s="19" t="str">
        <x:f>IF(Weekly_View!$W53="","",SUM(Weekly_View!$M53,Weekly_View!$O53,Weekly_View!$Q53,Weekly_View!$S53,Weekly_View!$U53))</x:f>
      </x:c>
      <x:c r="L53" s="19" t="str">
        <x:f>IF(Weekly_View!$W53="","",IFERROR(AVERAGE(Weekly_View!$N53,Weekly_View!$P53,Weekly_View!$R53,Weekly_View!$T53,Weekly_View!$V53),""))</x:f>
      </x:c>
      <x:c r="M53" s="16" t="str">
        <x:f>IF(Weekly_View!$W53="","",Weekly_View!$W53)</x:f>
      </x:c>
      <x:c r="N53" s="16" t="str">
        <x:f>IF(Weekly_View!$W53="","",Weekly_View!$X53)</x:f>
      </x:c>
    </x:row>
    <x:row r="54">
      <x:c r="A54" s="37" t="str">
        <x:f>IF(Weekly_View!$W54="","",Weekly_View!$C54)</x:f>
      </x:c>
      <x:c r="B54" s="16" t="str">
        <x:f>IF(Weekly_View!$W54="","",Weekly_View!$A54)</x:f>
      </x:c>
      <x:c r="C54" s="16" t="str">
        <x:f>IF(Weekly_View!$W54="","",Weekly_View!$B54)</x:f>
      </x:c>
      <x:c r="D54" s="16" t="str">
        <x:f>IF(Weekly_View!$W54="","",Weekly_View!$D54)</x:f>
      </x:c>
      <x:c r="E54" s="16" t="str">
        <x:f>IF(Weekly_View!$W54="","",Weekly_View!$E54)</x:f>
      </x:c>
      <x:c r="F54" s="16" t="str">
        <x:f>IF(Weekly_View!$W54="","",Weekly_View!$F54)</x:f>
      </x:c>
      <x:c r="G54" s="16" t="str">
        <x:f>IF(Weekly_View!$W54="","",Weekly_View!$G54)</x:f>
      </x:c>
      <x:c r="H54" s="16" t="str">
        <x:f>IF(Weekly_View!$W54="","",Weekly_View!$H54)</x:f>
      </x:c>
      <x:c r="I54" s="19" t="str">
        <x:f>IF(Weekly_View!$W54="","",Weekly_View!$K54)</x:f>
      </x:c>
      <x:c r="J54" s="19" t="str">
        <x:f>IF(Weekly_View!$W54="","",Weekly_View!$L54)</x:f>
      </x:c>
      <x:c r="K54" s="19" t="str">
        <x:f>IF(Weekly_View!$W54="","",SUM(Weekly_View!$M54,Weekly_View!$O54,Weekly_View!$Q54,Weekly_View!$S54,Weekly_View!$U54))</x:f>
      </x:c>
      <x:c r="L54" s="19" t="str">
        <x:f>IF(Weekly_View!$W54="","",IFERROR(AVERAGE(Weekly_View!$N54,Weekly_View!$P54,Weekly_View!$R54,Weekly_View!$T54,Weekly_View!$V54),""))</x:f>
      </x:c>
      <x:c r="M54" s="16" t="str">
        <x:f>IF(Weekly_View!$W54="","",Weekly_View!$W54)</x:f>
      </x:c>
      <x:c r="N54" s="16" t="str">
        <x:f>IF(Weekly_View!$W54="","",Weekly_View!$X54)</x:f>
      </x:c>
    </x:row>
    <x:row r="55">
      <x:c r="A55" s="37" t="str">
        <x:f>IF(Weekly_View!$W55="","",Weekly_View!$C55)</x:f>
      </x:c>
      <x:c r="B55" s="16" t="str">
        <x:f>IF(Weekly_View!$W55="","",Weekly_View!$A55)</x:f>
      </x:c>
      <x:c r="C55" s="16" t="str">
        <x:f>IF(Weekly_View!$W55="","",Weekly_View!$B55)</x:f>
      </x:c>
      <x:c r="D55" s="16" t="str">
        <x:f>IF(Weekly_View!$W55="","",Weekly_View!$D55)</x:f>
      </x:c>
      <x:c r="E55" s="16" t="str">
        <x:f>IF(Weekly_View!$W55="","",Weekly_View!$E55)</x:f>
      </x:c>
      <x:c r="F55" s="16" t="str">
        <x:f>IF(Weekly_View!$W55="","",Weekly_View!$F55)</x:f>
      </x:c>
      <x:c r="G55" s="16" t="str">
        <x:f>IF(Weekly_View!$W55="","",Weekly_View!$G55)</x:f>
      </x:c>
      <x:c r="H55" s="16" t="str">
        <x:f>IF(Weekly_View!$W55="","",Weekly_View!$H55)</x:f>
      </x:c>
      <x:c r="I55" s="19" t="str">
        <x:f>IF(Weekly_View!$W55="","",Weekly_View!$K55)</x:f>
      </x:c>
      <x:c r="J55" s="19" t="str">
        <x:f>IF(Weekly_View!$W55="","",Weekly_View!$L55)</x:f>
      </x:c>
      <x:c r="K55" s="19" t="str">
        <x:f>IF(Weekly_View!$W55="","",SUM(Weekly_View!$M55,Weekly_View!$O55,Weekly_View!$Q55,Weekly_View!$S55,Weekly_View!$U55))</x:f>
      </x:c>
      <x:c r="L55" s="19" t="str">
        <x:f>IF(Weekly_View!$W55="","",IFERROR(AVERAGE(Weekly_View!$N55,Weekly_View!$P55,Weekly_View!$R55,Weekly_View!$T55,Weekly_View!$V55),""))</x:f>
      </x:c>
      <x:c r="M55" s="16" t="str">
        <x:f>IF(Weekly_View!$W55="","",Weekly_View!$W55)</x:f>
      </x:c>
      <x:c r="N55" s="16" t="str">
        <x:f>IF(Weekly_View!$W55="","",Weekly_View!$X55)</x:f>
      </x:c>
    </x:row>
    <x:row r="56">
      <x:c r="A56" s="37" t="str">
        <x:f>IF(Weekly_View!$W56="","",Weekly_View!$C56)</x:f>
      </x:c>
      <x:c r="B56" s="16" t="str">
        <x:f>IF(Weekly_View!$W56="","",Weekly_View!$A56)</x:f>
      </x:c>
      <x:c r="C56" s="16" t="str">
        <x:f>IF(Weekly_View!$W56="","",Weekly_View!$B56)</x:f>
      </x:c>
      <x:c r="D56" s="16" t="str">
        <x:f>IF(Weekly_View!$W56="","",Weekly_View!$D56)</x:f>
      </x:c>
      <x:c r="E56" s="16" t="str">
        <x:f>IF(Weekly_View!$W56="","",Weekly_View!$E56)</x:f>
      </x:c>
      <x:c r="F56" s="16" t="str">
        <x:f>IF(Weekly_View!$W56="","",Weekly_View!$F56)</x:f>
      </x:c>
      <x:c r="G56" s="16" t="str">
        <x:f>IF(Weekly_View!$W56="","",Weekly_View!$G56)</x:f>
      </x:c>
      <x:c r="H56" s="16" t="str">
        <x:f>IF(Weekly_View!$W56="","",Weekly_View!$H56)</x:f>
      </x:c>
      <x:c r="I56" s="19" t="str">
        <x:f>IF(Weekly_View!$W56="","",Weekly_View!$K56)</x:f>
      </x:c>
      <x:c r="J56" s="19" t="str">
        <x:f>IF(Weekly_View!$W56="","",Weekly_View!$L56)</x:f>
      </x:c>
      <x:c r="K56" s="19" t="str">
        <x:f>IF(Weekly_View!$W56="","",SUM(Weekly_View!$M56,Weekly_View!$O56,Weekly_View!$Q56,Weekly_View!$S56,Weekly_View!$U56))</x:f>
      </x:c>
      <x:c r="L56" s="19" t="str">
        <x:f>IF(Weekly_View!$W56="","",IFERROR(AVERAGE(Weekly_View!$N56,Weekly_View!$P56,Weekly_View!$R56,Weekly_View!$T56,Weekly_View!$V56),""))</x:f>
      </x:c>
      <x:c r="M56" s="16" t="str">
        <x:f>IF(Weekly_View!$W56="","",Weekly_View!$W56)</x:f>
      </x:c>
      <x:c r="N56" s="16" t="str">
        <x:f>IF(Weekly_View!$W56="","",Weekly_View!$X56)</x:f>
      </x:c>
    </x:row>
    <x:row r="57">
      <x:c r="A57" s="37" t="str">
        <x:f>IF(Weekly_View!$W57="","",Weekly_View!$C57)</x:f>
      </x:c>
      <x:c r="B57" s="16" t="str">
        <x:f>IF(Weekly_View!$W57="","",Weekly_View!$A57)</x:f>
      </x:c>
      <x:c r="C57" s="16" t="str">
        <x:f>IF(Weekly_View!$W57="","",Weekly_View!$B57)</x:f>
      </x:c>
      <x:c r="D57" s="16" t="str">
        <x:f>IF(Weekly_View!$W57="","",Weekly_View!$D57)</x:f>
      </x:c>
      <x:c r="E57" s="16" t="str">
        <x:f>IF(Weekly_View!$W57="","",Weekly_View!$E57)</x:f>
      </x:c>
      <x:c r="F57" s="16" t="str">
        <x:f>IF(Weekly_View!$W57="","",Weekly_View!$F57)</x:f>
      </x:c>
      <x:c r="G57" s="16" t="str">
        <x:f>IF(Weekly_View!$W57="","",Weekly_View!$G57)</x:f>
      </x:c>
      <x:c r="H57" s="16" t="str">
        <x:f>IF(Weekly_View!$W57="","",Weekly_View!$H57)</x:f>
      </x:c>
      <x:c r="I57" s="19" t="str">
        <x:f>IF(Weekly_View!$W57="","",Weekly_View!$K57)</x:f>
      </x:c>
      <x:c r="J57" s="19" t="str">
        <x:f>IF(Weekly_View!$W57="","",Weekly_View!$L57)</x:f>
      </x:c>
      <x:c r="K57" s="19" t="str">
        <x:f>IF(Weekly_View!$W57="","",SUM(Weekly_View!$M57,Weekly_View!$O57,Weekly_View!$Q57,Weekly_View!$S57,Weekly_View!$U57))</x:f>
      </x:c>
      <x:c r="L57" s="19" t="str">
        <x:f>IF(Weekly_View!$W57="","",IFERROR(AVERAGE(Weekly_View!$N57,Weekly_View!$P57,Weekly_View!$R57,Weekly_View!$T57,Weekly_View!$V57),""))</x:f>
      </x:c>
      <x:c r="M57" s="16" t="str">
        <x:f>IF(Weekly_View!$W57="","",Weekly_View!$W57)</x:f>
      </x:c>
      <x:c r="N57" s="16" t="str">
        <x:f>IF(Weekly_View!$W57="","",Weekly_View!$X57)</x:f>
      </x:c>
    </x:row>
    <x:row r="58">
      <x:c r="A58" s="37" t="str">
        <x:f>IF(Weekly_View!$W58="","",Weekly_View!$C58)</x:f>
      </x:c>
      <x:c r="B58" s="16" t="str">
        <x:f>IF(Weekly_View!$W58="","",Weekly_View!$A58)</x:f>
      </x:c>
      <x:c r="C58" s="16" t="str">
        <x:f>IF(Weekly_View!$W58="","",Weekly_View!$B58)</x:f>
      </x:c>
      <x:c r="D58" s="16" t="str">
        <x:f>IF(Weekly_View!$W58="","",Weekly_View!$D58)</x:f>
      </x:c>
      <x:c r="E58" s="16" t="str">
        <x:f>IF(Weekly_View!$W58="","",Weekly_View!$E58)</x:f>
      </x:c>
      <x:c r="F58" s="16" t="str">
        <x:f>IF(Weekly_View!$W58="","",Weekly_View!$F58)</x:f>
      </x:c>
      <x:c r="G58" s="16" t="str">
        <x:f>IF(Weekly_View!$W58="","",Weekly_View!$G58)</x:f>
      </x:c>
      <x:c r="H58" s="16" t="str">
        <x:f>IF(Weekly_View!$W58="","",Weekly_View!$H58)</x:f>
      </x:c>
      <x:c r="I58" s="19" t="str">
        <x:f>IF(Weekly_View!$W58="","",Weekly_View!$K58)</x:f>
      </x:c>
      <x:c r="J58" s="19" t="str">
        <x:f>IF(Weekly_View!$W58="","",Weekly_View!$L58)</x:f>
      </x:c>
      <x:c r="K58" s="19" t="str">
        <x:f>IF(Weekly_View!$W58="","",SUM(Weekly_View!$M58,Weekly_View!$O58,Weekly_View!$Q58,Weekly_View!$S58,Weekly_View!$U58))</x:f>
      </x:c>
      <x:c r="L58" s="19" t="str">
        <x:f>IF(Weekly_View!$W58="","",IFERROR(AVERAGE(Weekly_View!$N58,Weekly_View!$P58,Weekly_View!$R58,Weekly_View!$T58,Weekly_View!$V58),""))</x:f>
      </x:c>
      <x:c r="M58" s="16" t="str">
        <x:f>IF(Weekly_View!$W58="","",Weekly_View!$W58)</x:f>
      </x:c>
      <x:c r="N58" s="16" t="str">
        <x:f>IF(Weekly_View!$W58="","",Weekly_View!$X58)</x:f>
      </x:c>
    </x:row>
    <x:row r="59">
      <x:c r="A59" s="37" t="str">
        <x:f>IF(Weekly_View!$W59="","",Weekly_View!$C59)</x:f>
      </x:c>
      <x:c r="B59" s="16" t="str">
        <x:f>IF(Weekly_View!$W59="","",Weekly_View!$A59)</x:f>
      </x:c>
      <x:c r="C59" s="16" t="str">
        <x:f>IF(Weekly_View!$W59="","",Weekly_View!$B59)</x:f>
      </x:c>
      <x:c r="D59" s="16" t="str">
        <x:f>IF(Weekly_View!$W59="","",Weekly_View!$D59)</x:f>
      </x:c>
      <x:c r="E59" s="16" t="str">
        <x:f>IF(Weekly_View!$W59="","",Weekly_View!$E59)</x:f>
      </x:c>
      <x:c r="F59" s="16" t="str">
        <x:f>IF(Weekly_View!$W59="","",Weekly_View!$F59)</x:f>
      </x:c>
      <x:c r="G59" s="16" t="str">
        <x:f>IF(Weekly_View!$W59="","",Weekly_View!$G59)</x:f>
      </x:c>
      <x:c r="H59" s="16" t="str">
        <x:f>IF(Weekly_View!$W59="","",Weekly_View!$H59)</x:f>
      </x:c>
      <x:c r="I59" s="19" t="str">
        <x:f>IF(Weekly_View!$W59="","",Weekly_View!$K59)</x:f>
      </x:c>
      <x:c r="J59" s="19" t="str">
        <x:f>IF(Weekly_View!$W59="","",Weekly_View!$L59)</x:f>
      </x:c>
      <x:c r="K59" s="19" t="str">
        <x:f>IF(Weekly_View!$W59="","",SUM(Weekly_View!$M59,Weekly_View!$O59,Weekly_View!$Q59,Weekly_View!$S59,Weekly_View!$U59))</x:f>
      </x:c>
      <x:c r="L59" s="19" t="str">
        <x:f>IF(Weekly_View!$W59="","",IFERROR(AVERAGE(Weekly_View!$N59,Weekly_View!$P59,Weekly_View!$R59,Weekly_View!$T59,Weekly_View!$V59),""))</x:f>
      </x:c>
      <x:c r="M59" s="16" t="str">
        <x:f>IF(Weekly_View!$W59="","",Weekly_View!$W59)</x:f>
      </x:c>
      <x:c r="N59" s="16" t="str">
        <x:f>IF(Weekly_View!$W59="","",Weekly_View!$X59)</x:f>
      </x:c>
    </x:row>
    <x:row r="60">
      <x:c r="A60" s="37" t="str">
        <x:f>IF(Weekly_View!$W60="","",Weekly_View!$C60)</x:f>
      </x:c>
      <x:c r="B60" s="16" t="str">
        <x:f>IF(Weekly_View!$W60="","",Weekly_View!$A60)</x:f>
      </x:c>
      <x:c r="C60" s="16" t="str">
        <x:f>IF(Weekly_View!$W60="","",Weekly_View!$B60)</x:f>
      </x:c>
      <x:c r="D60" s="16" t="str">
        <x:f>IF(Weekly_View!$W60="","",Weekly_View!$D60)</x:f>
      </x:c>
      <x:c r="E60" s="16" t="str">
        <x:f>IF(Weekly_View!$W60="","",Weekly_View!$E60)</x:f>
      </x:c>
      <x:c r="F60" s="16" t="str">
        <x:f>IF(Weekly_View!$W60="","",Weekly_View!$F60)</x:f>
      </x:c>
      <x:c r="G60" s="16" t="str">
        <x:f>IF(Weekly_View!$W60="","",Weekly_View!$G60)</x:f>
      </x:c>
      <x:c r="H60" s="16" t="str">
        <x:f>IF(Weekly_View!$W60="","",Weekly_View!$H60)</x:f>
      </x:c>
      <x:c r="I60" s="19" t="str">
        <x:f>IF(Weekly_View!$W60="","",Weekly_View!$K60)</x:f>
      </x:c>
      <x:c r="J60" s="19" t="str">
        <x:f>IF(Weekly_View!$W60="","",Weekly_View!$L60)</x:f>
      </x:c>
      <x:c r="K60" s="19" t="str">
        <x:f>IF(Weekly_View!$W60="","",SUM(Weekly_View!$M60,Weekly_View!$O60,Weekly_View!$Q60,Weekly_View!$S60,Weekly_View!$U60))</x:f>
      </x:c>
      <x:c r="L60" s="19" t="str">
        <x:f>IF(Weekly_View!$W60="","",IFERROR(AVERAGE(Weekly_View!$N60,Weekly_View!$P60,Weekly_View!$R60,Weekly_View!$T60,Weekly_View!$V60),""))</x:f>
      </x:c>
      <x:c r="M60" s="16" t="str">
        <x:f>IF(Weekly_View!$W60="","",Weekly_View!$W60)</x:f>
      </x:c>
      <x:c r="N60" s="16" t="str">
        <x:f>IF(Weekly_View!$W60="","",Weekly_View!$X60)</x:f>
      </x:c>
    </x:row>
    <x:row r="61">
      <x:c r="A61" s="37" t="str">
        <x:f>IF(Weekly_View!$W61="","",Weekly_View!$C61)</x:f>
      </x:c>
      <x:c r="B61" s="16" t="str">
        <x:f>IF(Weekly_View!$W61="","",Weekly_View!$A61)</x:f>
      </x:c>
      <x:c r="C61" s="16" t="str">
        <x:f>IF(Weekly_View!$W61="","",Weekly_View!$B61)</x:f>
      </x:c>
      <x:c r="D61" s="16" t="str">
        <x:f>IF(Weekly_View!$W61="","",Weekly_View!$D61)</x:f>
      </x:c>
      <x:c r="E61" s="16" t="str">
        <x:f>IF(Weekly_View!$W61="","",Weekly_View!$E61)</x:f>
      </x:c>
      <x:c r="F61" s="16" t="str">
        <x:f>IF(Weekly_View!$W61="","",Weekly_View!$F61)</x:f>
      </x:c>
      <x:c r="G61" s="16" t="str">
        <x:f>IF(Weekly_View!$W61="","",Weekly_View!$G61)</x:f>
      </x:c>
      <x:c r="H61" s="16" t="str">
        <x:f>IF(Weekly_View!$W61="","",Weekly_View!$H61)</x:f>
      </x:c>
      <x:c r="I61" s="19" t="str">
        <x:f>IF(Weekly_View!$W61="","",Weekly_View!$K61)</x:f>
      </x:c>
      <x:c r="J61" s="19" t="str">
        <x:f>IF(Weekly_View!$W61="","",Weekly_View!$L61)</x:f>
      </x:c>
      <x:c r="K61" s="19" t="str">
        <x:f>IF(Weekly_View!$W61="","",SUM(Weekly_View!$M61,Weekly_View!$O61,Weekly_View!$Q61,Weekly_View!$S61,Weekly_View!$U61))</x:f>
      </x:c>
      <x:c r="L61" s="19" t="str">
        <x:f>IF(Weekly_View!$W61="","",IFERROR(AVERAGE(Weekly_View!$N61,Weekly_View!$P61,Weekly_View!$R61,Weekly_View!$T61,Weekly_View!$V61),""))</x:f>
      </x:c>
      <x:c r="M61" s="16" t="str">
        <x:f>IF(Weekly_View!$W61="","",Weekly_View!$W61)</x:f>
      </x:c>
      <x:c r="N61" s="16" t="str">
        <x:f>IF(Weekly_View!$W61="","",Weekly_View!$X61)</x:f>
      </x:c>
    </x:row>
    <x:row r="62">
      <x:c r="A62" s="37" t="str">
        <x:f>IF(Weekly_View!$W62="","",Weekly_View!$C62)</x:f>
      </x:c>
      <x:c r="B62" s="16" t="str">
        <x:f>IF(Weekly_View!$W62="","",Weekly_View!$A62)</x:f>
      </x:c>
      <x:c r="C62" s="16" t="str">
        <x:f>IF(Weekly_View!$W62="","",Weekly_View!$B62)</x:f>
      </x:c>
      <x:c r="D62" s="16" t="str">
        <x:f>IF(Weekly_View!$W62="","",Weekly_View!$D62)</x:f>
      </x:c>
      <x:c r="E62" s="16" t="str">
        <x:f>IF(Weekly_View!$W62="","",Weekly_View!$E62)</x:f>
      </x:c>
      <x:c r="F62" s="16" t="str">
        <x:f>IF(Weekly_View!$W62="","",Weekly_View!$F62)</x:f>
      </x:c>
      <x:c r="G62" s="16" t="str">
        <x:f>IF(Weekly_View!$W62="","",Weekly_View!$G62)</x:f>
      </x:c>
      <x:c r="H62" s="16" t="str">
        <x:f>IF(Weekly_View!$W62="","",Weekly_View!$H62)</x:f>
      </x:c>
      <x:c r="I62" s="19" t="str">
        <x:f>IF(Weekly_View!$W62="","",Weekly_View!$K62)</x:f>
      </x:c>
      <x:c r="J62" s="19" t="str">
        <x:f>IF(Weekly_View!$W62="","",Weekly_View!$L62)</x:f>
      </x:c>
      <x:c r="K62" s="19" t="str">
        <x:f>IF(Weekly_View!$W62="","",SUM(Weekly_View!$M62,Weekly_View!$O62,Weekly_View!$Q62,Weekly_View!$S62,Weekly_View!$U62))</x:f>
      </x:c>
      <x:c r="L62" s="19" t="str">
        <x:f>IF(Weekly_View!$W62="","",IFERROR(AVERAGE(Weekly_View!$N62,Weekly_View!$P62,Weekly_View!$R62,Weekly_View!$T62,Weekly_View!$V62),""))</x:f>
      </x:c>
      <x:c r="M62" s="16" t="str">
        <x:f>IF(Weekly_View!$W62="","",Weekly_View!$W62)</x:f>
      </x:c>
      <x:c r="N62" s="16" t="str">
        <x:f>IF(Weekly_View!$W62="","",Weekly_View!$X62)</x:f>
      </x:c>
    </x:row>
    <x:row r="63">
      <x:c r="A63" s="37" t="str">
        <x:f>IF(Weekly_View!$W63="","",Weekly_View!$C63)</x:f>
      </x:c>
      <x:c r="B63" s="16" t="str">
        <x:f>IF(Weekly_View!$W63="","",Weekly_View!$A63)</x:f>
      </x:c>
      <x:c r="C63" s="16" t="str">
        <x:f>IF(Weekly_View!$W63="","",Weekly_View!$B63)</x:f>
      </x:c>
      <x:c r="D63" s="16" t="str">
        <x:f>IF(Weekly_View!$W63="","",Weekly_View!$D63)</x:f>
      </x:c>
      <x:c r="E63" s="16" t="str">
        <x:f>IF(Weekly_View!$W63="","",Weekly_View!$E63)</x:f>
      </x:c>
      <x:c r="F63" s="16" t="str">
        <x:f>IF(Weekly_View!$W63="","",Weekly_View!$F63)</x:f>
      </x:c>
      <x:c r="G63" s="16" t="str">
        <x:f>IF(Weekly_View!$W63="","",Weekly_View!$G63)</x:f>
      </x:c>
      <x:c r="H63" s="16" t="str">
        <x:f>IF(Weekly_View!$W63="","",Weekly_View!$H63)</x:f>
      </x:c>
      <x:c r="I63" s="19" t="str">
        <x:f>IF(Weekly_View!$W63="","",Weekly_View!$K63)</x:f>
      </x:c>
      <x:c r="J63" s="19" t="str">
        <x:f>IF(Weekly_View!$W63="","",Weekly_View!$L63)</x:f>
      </x:c>
      <x:c r="K63" s="19" t="str">
        <x:f>IF(Weekly_View!$W63="","",SUM(Weekly_View!$M63,Weekly_View!$O63,Weekly_View!$Q63,Weekly_View!$S63,Weekly_View!$U63))</x:f>
      </x:c>
      <x:c r="L63" s="19" t="str">
        <x:f>IF(Weekly_View!$W63="","",IFERROR(AVERAGE(Weekly_View!$N63,Weekly_View!$P63,Weekly_View!$R63,Weekly_View!$T63,Weekly_View!$V63),""))</x:f>
      </x:c>
      <x:c r="M63" s="16" t="str">
        <x:f>IF(Weekly_View!$W63="","",Weekly_View!$W63)</x:f>
      </x:c>
      <x:c r="N63" s="16" t="str">
        <x:f>IF(Weekly_View!$W63="","",Weekly_View!$X63)</x:f>
      </x:c>
    </x:row>
    <x:row r="64">
      <x:c r="A64" s="37" t="str">
        <x:f>IF(Weekly_View!$W64="","",Weekly_View!$C64)</x:f>
      </x:c>
      <x:c r="B64" s="16" t="str">
        <x:f>IF(Weekly_View!$W64="","",Weekly_View!$A64)</x:f>
      </x:c>
      <x:c r="C64" s="16" t="str">
        <x:f>IF(Weekly_View!$W64="","",Weekly_View!$B64)</x:f>
      </x:c>
      <x:c r="D64" s="16" t="str">
        <x:f>IF(Weekly_View!$W64="","",Weekly_View!$D64)</x:f>
      </x:c>
      <x:c r="E64" s="16" t="str">
        <x:f>IF(Weekly_View!$W64="","",Weekly_View!$E64)</x:f>
      </x:c>
      <x:c r="F64" s="16" t="str">
        <x:f>IF(Weekly_View!$W64="","",Weekly_View!$F64)</x:f>
      </x:c>
      <x:c r="G64" s="16" t="str">
        <x:f>IF(Weekly_View!$W64="","",Weekly_View!$G64)</x:f>
      </x:c>
      <x:c r="H64" s="16" t="str">
        <x:f>IF(Weekly_View!$W64="","",Weekly_View!$H64)</x:f>
      </x:c>
      <x:c r="I64" s="19" t="str">
        <x:f>IF(Weekly_View!$W64="","",Weekly_View!$K64)</x:f>
      </x:c>
      <x:c r="J64" s="19" t="str">
        <x:f>IF(Weekly_View!$W64="","",Weekly_View!$L64)</x:f>
      </x:c>
      <x:c r="K64" s="19" t="str">
        <x:f>IF(Weekly_View!$W64="","",SUM(Weekly_View!$M64,Weekly_View!$O64,Weekly_View!$Q64,Weekly_View!$S64,Weekly_View!$U64))</x:f>
      </x:c>
      <x:c r="L64" s="19" t="str">
        <x:f>IF(Weekly_View!$W64="","",IFERROR(AVERAGE(Weekly_View!$N64,Weekly_View!$P64,Weekly_View!$R64,Weekly_View!$T64,Weekly_View!$V64),""))</x:f>
      </x:c>
      <x:c r="M64" s="16" t="str">
        <x:f>IF(Weekly_View!$W64="","",Weekly_View!$W64)</x:f>
      </x:c>
      <x:c r="N64" s="16" t="str">
        <x:f>IF(Weekly_View!$W64="","",Weekly_View!$X64)</x:f>
      </x:c>
    </x:row>
    <x:row r="65">
      <x:c r="A65" s="37" t="str">
        <x:f>IF(Weekly_View!$W65="","",Weekly_View!$C65)</x:f>
      </x:c>
      <x:c r="B65" s="16" t="str">
        <x:f>IF(Weekly_View!$W65="","",Weekly_View!$A65)</x:f>
      </x:c>
      <x:c r="C65" s="16" t="str">
        <x:f>IF(Weekly_View!$W65="","",Weekly_View!$B65)</x:f>
      </x:c>
      <x:c r="D65" s="16" t="str">
        <x:f>IF(Weekly_View!$W65="","",Weekly_View!$D65)</x:f>
      </x:c>
      <x:c r="E65" s="16" t="str">
        <x:f>IF(Weekly_View!$W65="","",Weekly_View!$E65)</x:f>
      </x:c>
      <x:c r="F65" s="16" t="str">
        <x:f>IF(Weekly_View!$W65="","",Weekly_View!$F65)</x:f>
      </x:c>
      <x:c r="G65" s="16" t="str">
        <x:f>IF(Weekly_View!$W65="","",Weekly_View!$G65)</x:f>
      </x:c>
      <x:c r="H65" s="16" t="str">
        <x:f>IF(Weekly_View!$W65="","",Weekly_View!$H65)</x:f>
      </x:c>
      <x:c r="I65" s="19" t="str">
        <x:f>IF(Weekly_View!$W65="","",Weekly_View!$K65)</x:f>
      </x:c>
      <x:c r="J65" s="19" t="str">
        <x:f>IF(Weekly_View!$W65="","",Weekly_View!$L65)</x:f>
      </x:c>
      <x:c r="K65" s="19" t="str">
        <x:f>IF(Weekly_View!$W65="","",SUM(Weekly_View!$M65,Weekly_View!$O65,Weekly_View!$Q65,Weekly_View!$S65,Weekly_View!$U65))</x:f>
      </x:c>
      <x:c r="L65" s="19" t="str">
        <x:f>IF(Weekly_View!$W65="","",IFERROR(AVERAGE(Weekly_View!$N65,Weekly_View!$P65,Weekly_View!$R65,Weekly_View!$T65,Weekly_View!$V65),""))</x:f>
      </x:c>
      <x:c r="M65" s="16" t="str">
        <x:f>IF(Weekly_View!$W65="","",Weekly_View!$W65)</x:f>
      </x:c>
      <x:c r="N65" s="16" t="str">
        <x:f>IF(Weekly_View!$W65="","",Weekly_View!$X65)</x:f>
      </x:c>
    </x:row>
    <x:row r="66">
      <x:c r="A66" s="37" t="str">
        <x:f>IF(Weekly_View!$W66="","",Weekly_View!$C66)</x:f>
      </x:c>
      <x:c r="B66" s="16" t="str">
        <x:f>IF(Weekly_View!$W66="","",Weekly_View!$A66)</x:f>
      </x:c>
      <x:c r="C66" s="16" t="str">
        <x:f>IF(Weekly_View!$W66="","",Weekly_View!$B66)</x:f>
      </x:c>
      <x:c r="D66" s="16" t="str">
        <x:f>IF(Weekly_View!$W66="","",Weekly_View!$D66)</x:f>
      </x:c>
      <x:c r="E66" s="16" t="str">
        <x:f>IF(Weekly_View!$W66="","",Weekly_View!$E66)</x:f>
      </x:c>
      <x:c r="F66" s="16" t="str">
        <x:f>IF(Weekly_View!$W66="","",Weekly_View!$F66)</x:f>
      </x:c>
      <x:c r="G66" s="16" t="str">
        <x:f>IF(Weekly_View!$W66="","",Weekly_View!$G66)</x:f>
      </x:c>
      <x:c r="H66" s="16" t="str">
        <x:f>IF(Weekly_View!$W66="","",Weekly_View!$H66)</x:f>
      </x:c>
      <x:c r="I66" s="19" t="str">
        <x:f>IF(Weekly_View!$W66="","",Weekly_View!$K66)</x:f>
      </x:c>
      <x:c r="J66" s="19" t="str">
        <x:f>IF(Weekly_View!$W66="","",Weekly_View!$L66)</x:f>
      </x:c>
      <x:c r="K66" s="19" t="str">
        <x:f>IF(Weekly_View!$W66="","",SUM(Weekly_View!$M66,Weekly_View!$O66,Weekly_View!$Q66,Weekly_View!$S66,Weekly_View!$U66))</x:f>
      </x:c>
      <x:c r="L66" s="19" t="str">
        <x:f>IF(Weekly_View!$W66="","",IFERROR(AVERAGE(Weekly_View!$N66,Weekly_View!$P66,Weekly_View!$R66,Weekly_View!$T66,Weekly_View!$V66),""))</x:f>
      </x:c>
      <x:c r="M66" s="16" t="str">
        <x:f>IF(Weekly_View!$W66="","",Weekly_View!$W66)</x:f>
      </x:c>
      <x:c r="N66" s="16" t="str">
        <x:f>IF(Weekly_View!$W66="","",Weekly_View!$X66)</x:f>
      </x:c>
    </x:row>
    <x:row r="67">
      <x:c r="A67" s="37" t="str">
        <x:f>IF(Weekly_View!$W67="","",Weekly_View!$C67)</x:f>
      </x:c>
      <x:c r="B67" s="16" t="str">
        <x:f>IF(Weekly_View!$W67="","",Weekly_View!$A67)</x:f>
      </x:c>
      <x:c r="C67" s="16" t="str">
        <x:f>IF(Weekly_View!$W67="","",Weekly_View!$B67)</x:f>
      </x:c>
      <x:c r="D67" s="16" t="str">
        <x:f>IF(Weekly_View!$W67="","",Weekly_View!$D67)</x:f>
      </x:c>
      <x:c r="E67" s="16" t="str">
        <x:f>IF(Weekly_View!$W67="","",Weekly_View!$E67)</x:f>
      </x:c>
      <x:c r="F67" s="16" t="str">
        <x:f>IF(Weekly_View!$W67="","",Weekly_View!$F67)</x:f>
      </x:c>
      <x:c r="G67" s="16" t="str">
        <x:f>IF(Weekly_View!$W67="","",Weekly_View!$G67)</x:f>
      </x:c>
      <x:c r="H67" s="16" t="str">
        <x:f>IF(Weekly_View!$W67="","",Weekly_View!$H67)</x:f>
      </x:c>
      <x:c r="I67" s="19" t="str">
        <x:f>IF(Weekly_View!$W67="","",Weekly_View!$K67)</x:f>
      </x:c>
      <x:c r="J67" s="19" t="str">
        <x:f>IF(Weekly_View!$W67="","",Weekly_View!$L67)</x:f>
      </x:c>
      <x:c r="K67" s="19" t="str">
        <x:f>IF(Weekly_View!$W67="","",SUM(Weekly_View!$M67,Weekly_View!$O67,Weekly_View!$Q67,Weekly_View!$S67,Weekly_View!$U67))</x:f>
      </x:c>
      <x:c r="L67" s="19" t="str">
        <x:f>IF(Weekly_View!$W67="","",IFERROR(AVERAGE(Weekly_View!$N67,Weekly_View!$P67,Weekly_View!$R67,Weekly_View!$T67,Weekly_View!$V67),""))</x:f>
      </x:c>
      <x:c r="M67" s="16" t="str">
        <x:f>IF(Weekly_View!$W67="","",Weekly_View!$W67)</x:f>
      </x:c>
      <x:c r="N67" s="16" t="str">
        <x:f>IF(Weekly_View!$W67="","",Weekly_View!$X67)</x:f>
      </x:c>
    </x:row>
    <x:row r="68">
      <x:c r="A68" s="37" t="str">
        <x:f>IF(Weekly_View!$W68="","",Weekly_View!$C68)</x:f>
      </x:c>
      <x:c r="B68" s="16" t="str">
        <x:f>IF(Weekly_View!$W68="","",Weekly_View!$A68)</x:f>
      </x:c>
      <x:c r="C68" s="16" t="str">
        <x:f>IF(Weekly_View!$W68="","",Weekly_View!$B68)</x:f>
      </x:c>
      <x:c r="D68" s="16" t="str">
        <x:f>IF(Weekly_View!$W68="","",Weekly_View!$D68)</x:f>
      </x:c>
      <x:c r="E68" s="16" t="str">
        <x:f>IF(Weekly_View!$W68="","",Weekly_View!$E68)</x:f>
      </x:c>
      <x:c r="F68" s="16" t="str">
        <x:f>IF(Weekly_View!$W68="","",Weekly_View!$F68)</x:f>
      </x:c>
      <x:c r="G68" s="16" t="str">
        <x:f>IF(Weekly_View!$W68="","",Weekly_View!$G68)</x:f>
      </x:c>
      <x:c r="H68" s="16" t="str">
        <x:f>IF(Weekly_View!$W68="","",Weekly_View!$H68)</x:f>
      </x:c>
      <x:c r="I68" s="19" t="str">
        <x:f>IF(Weekly_View!$W68="","",Weekly_View!$K68)</x:f>
      </x:c>
      <x:c r="J68" s="19" t="str">
        <x:f>IF(Weekly_View!$W68="","",Weekly_View!$L68)</x:f>
      </x:c>
      <x:c r="K68" s="19" t="str">
        <x:f>IF(Weekly_View!$W68="","",SUM(Weekly_View!$M68,Weekly_View!$O68,Weekly_View!$Q68,Weekly_View!$S68,Weekly_View!$U68))</x:f>
      </x:c>
      <x:c r="L68" s="19" t="str">
        <x:f>IF(Weekly_View!$W68="","",IFERROR(AVERAGE(Weekly_View!$N68,Weekly_View!$P68,Weekly_View!$R68,Weekly_View!$T68,Weekly_View!$V68),""))</x:f>
      </x:c>
      <x:c r="M68" s="16" t="str">
        <x:f>IF(Weekly_View!$W68="","",Weekly_View!$W68)</x:f>
      </x:c>
      <x:c r="N68" s="16" t="str">
        <x:f>IF(Weekly_View!$W68="","",Weekly_View!$X68)</x:f>
      </x:c>
    </x:row>
    <x:row r="69">
      <x:c r="A69" s="37" t="str">
        <x:f>IF(Weekly_View!$W69="","",Weekly_View!$C69)</x:f>
      </x:c>
      <x:c r="B69" s="16" t="str">
        <x:f>IF(Weekly_View!$W69="","",Weekly_View!$A69)</x:f>
      </x:c>
      <x:c r="C69" s="16" t="str">
        <x:f>IF(Weekly_View!$W69="","",Weekly_View!$B69)</x:f>
      </x:c>
      <x:c r="D69" s="16" t="str">
        <x:f>IF(Weekly_View!$W69="","",Weekly_View!$D69)</x:f>
      </x:c>
      <x:c r="E69" s="16" t="str">
        <x:f>IF(Weekly_View!$W69="","",Weekly_View!$E69)</x:f>
      </x:c>
      <x:c r="F69" s="16" t="str">
        <x:f>IF(Weekly_View!$W69="","",Weekly_View!$F69)</x:f>
      </x:c>
      <x:c r="G69" s="16" t="str">
        <x:f>IF(Weekly_View!$W69="","",Weekly_View!$G69)</x:f>
      </x:c>
      <x:c r="H69" s="16" t="str">
        <x:f>IF(Weekly_View!$W69="","",Weekly_View!$H69)</x:f>
      </x:c>
      <x:c r="I69" s="19" t="str">
        <x:f>IF(Weekly_View!$W69="","",Weekly_View!$K69)</x:f>
      </x:c>
      <x:c r="J69" s="19" t="str">
        <x:f>IF(Weekly_View!$W69="","",Weekly_View!$L69)</x:f>
      </x:c>
      <x:c r="K69" s="19" t="str">
        <x:f>IF(Weekly_View!$W69="","",SUM(Weekly_View!$M69,Weekly_View!$O69,Weekly_View!$Q69,Weekly_View!$S69,Weekly_View!$U69))</x:f>
      </x:c>
      <x:c r="L69" s="19" t="str">
        <x:f>IF(Weekly_View!$W69="","",IFERROR(AVERAGE(Weekly_View!$N69,Weekly_View!$P69,Weekly_View!$R69,Weekly_View!$T69,Weekly_View!$V69),""))</x:f>
      </x:c>
      <x:c r="M69" s="16" t="str">
        <x:f>IF(Weekly_View!$W69="","",Weekly_View!$W69)</x:f>
      </x:c>
      <x:c r="N69" s="16" t="str">
        <x:f>IF(Weekly_View!$W69="","",Weekly_View!$X69)</x:f>
      </x:c>
    </x:row>
    <x:row r="70">
      <x:c r="A70" s="37" t="str">
        <x:f>IF(Weekly_View!$W70="","",Weekly_View!$C70)</x:f>
      </x:c>
      <x:c r="B70" s="16" t="str">
        <x:f>IF(Weekly_View!$W70="","",Weekly_View!$A70)</x:f>
      </x:c>
      <x:c r="C70" s="16" t="str">
        <x:f>IF(Weekly_View!$W70="","",Weekly_View!$B70)</x:f>
      </x:c>
      <x:c r="D70" s="16" t="str">
        <x:f>IF(Weekly_View!$W70="","",Weekly_View!$D70)</x:f>
      </x:c>
      <x:c r="E70" s="16" t="str">
        <x:f>IF(Weekly_View!$W70="","",Weekly_View!$E70)</x:f>
      </x:c>
      <x:c r="F70" s="16" t="str">
        <x:f>IF(Weekly_View!$W70="","",Weekly_View!$F70)</x:f>
      </x:c>
      <x:c r="G70" s="16" t="str">
        <x:f>IF(Weekly_View!$W70="","",Weekly_View!$G70)</x:f>
      </x:c>
      <x:c r="H70" s="16" t="str">
        <x:f>IF(Weekly_View!$W70="","",Weekly_View!$H70)</x:f>
      </x:c>
      <x:c r="I70" s="19" t="str">
        <x:f>IF(Weekly_View!$W70="","",Weekly_View!$K70)</x:f>
      </x:c>
      <x:c r="J70" s="19" t="str">
        <x:f>IF(Weekly_View!$W70="","",Weekly_View!$L70)</x:f>
      </x:c>
      <x:c r="K70" s="19" t="str">
        <x:f>IF(Weekly_View!$W70="","",SUM(Weekly_View!$M70,Weekly_View!$O70,Weekly_View!$Q70,Weekly_View!$S70,Weekly_View!$U70))</x:f>
      </x:c>
      <x:c r="L70" s="19" t="str">
        <x:f>IF(Weekly_View!$W70="","",IFERROR(AVERAGE(Weekly_View!$N70,Weekly_View!$P70,Weekly_View!$R70,Weekly_View!$T70,Weekly_View!$V70),""))</x:f>
      </x:c>
      <x:c r="M70" s="16" t="str">
        <x:f>IF(Weekly_View!$W70="","",Weekly_View!$W70)</x:f>
      </x:c>
      <x:c r="N70" s="16" t="str">
        <x:f>IF(Weekly_View!$W70="","",Weekly_View!$X70)</x:f>
      </x:c>
    </x:row>
    <x:row r="71">
      <x:c r="A71" s="37" t="str">
        <x:f>IF(Weekly_View!$W71="","",Weekly_View!$C71)</x:f>
      </x:c>
      <x:c r="B71" s="16" t="str">
        <x:f>IF(Weekly_View!$W71="","",Weekly_View!$A71)</x:f>
      </x:c>
      <x:c r="C71" s="16" t="str">
        <x:f>IF(Weekly_View!$W71="","",Weekly_View!$B71)</x:f>
      </x:c>
      <x:c r="D71" s="16" t="str">
        <x:f>IF(Weekly_View!$W71="","",Weekly_View!$D71)</x:f>
      </x:c>
      <x:c r="E71" s="16" t="str">
        <x:f>IF(Weekly_View!$W71="","",Weekly_View!$E71)</x:f>
      </x:c>
      <x:c r="F71" s="16" t="str">
        <x:f>IF(Weekly_View!$W71="","",Weekly_View!$F71)</x:f>
      </x:c>
      <x:c r="G71" s="16" t="str">
        <x:f>IF(Weekly_View!$W71="","",Weekly_View!$G71)</x:f>
      </x:c>
      <x:c r="H71" s="16" t="str">
        <x:f>IF(Weekly_View!$W71="","",Weekly_View!$H71)</x:f>
      </x:c>
      <x:c r="I71" s="19" t="str">
        <x:f>IF(Weekly_View!$W71="","",Weekly_View!$K71)</x:f>
      </x:c>
      <x:c r="J71" s="19" t="str">
        <x:f>IF(Weekly_View!$W71="","",Weekly_View!$L71)</x:f>
      </x:c>
      <x:c r="K71" s="19" t="str">
        <x:f>IF(Weekly_View!$W71="","",SUM(Weekly_View!$M71,Weekly_View!$O71,Weekly_View!$Q71,Weekly_View!$S71,Weekly_View!$U71))</x:f>
      </x:c>
      <x:c r="L71" s="19" t="str">
        <x:f>IF(Weekly_View!$W71="","",IFERROR(AVERAGE(Weekly_View!$N71,Weekly_View!$P71,Weekly_View!$R71,Weekly_View!$T71,Weekly_View!$V71),""))</x:f>
      </x:c>
      <x:c r="M71" s="16" t="str">
        <x:f>IF(Weekly_View!$W71="","",Weekly_View!$W71)</x:f>
      </x:c>
      <x:c r="N71" s="16" t="str">
        <x:f>IF(Weekly_View!$W71="","",Weekly_View!$X71)</x:f>
      </x:c>
    </x:row>
    <x:row r="72">
      <x:c r="A72" s="37" t="str">
        <x:f>IF(Weekly_View!$W72="","",Weekly_View!$C72)</x:f>
      </x:c>
      <x:c r="B72" s="16" t="str">
        <x:f>IF(Weekly_View!$W72="","",Weekly_View!$A72)</x:f>
      </x:c>
      <x:c r="C72" s="16" t="str">
        <x:f>IF(Weekly_View!$W72="","",Weekly_View!$B72)</x:f>
      </x:c>
      <x:c r="D72" s="16" t="str">
        <x:f>IF(Weekly_View!$W72="","",Weekly_View!$D72)</x:f>
      </x:c>
      <x:c r="E72" s="16" t="str">
        <x:f>IF(Weekly_View!$W72="","",Weekly_View!$E72)</x:f>
      </x:c>
      <x:c r="F72" s="16" t="str">
        <x:f>IF(Weekly_View!$W72="","",Weekly_View!$F72)</x:f>
      </x:c>
      <x:c r="G72" s="16" t="str">
        <x:f>IF(Weekly_View!$W72="","",Weekly_View!$G72)</x:f>
      </x:c>
      <x:c r="H72" s="16" t="str">
        <x:f>IF(Weekly_View!$W72="","",Weekly_View!$H72)</x:f>
      </x:c>
      <x:c r="I72" s="19" t="str">
        <x:f>IF(Weekly_View!$W72="","",Weekly_View!$K72)</x:f>
      </x:c>
      <x:c r="J72" s="19" t="str">
        <x:f>IF(Weekly_View!$W72="","",Weekly_View!$L72)</x:f>
      </x:c>
      <x:c r="K72" s="19" t="str">
        <x:f>IF(Weekly_View!$W72="","",SUM(Weekly_View!$M72,Weekly_View!$O72,Weekly_View!$Q72,Weekly_View!$S72,Weekly_View!$U72))</x:f>
      </x:c>
      <x:c r="L72" s="19" t="str">
        <x:f>IF(Weekly_View!$W72="","",IFERROR(AVERAGE(Weekly_View!$N72,Weekly_View!$P72,Weekly_View!$R72,Weekly_View!$T72,Weekly_View!$V72),""))</x:f>
      </x:c>
      <x:c r="M72" s="16" t="str">
        <x:f>IF(Weekly_View!$W72="","",Weekly_View!$W72)</x:f>
      </x:c>
      <x:c r="N72" s="16" t="str">
        <x:f>IF(Weekly_View!$W72="","",Weekly_View!$X72)</x:f>
      </x:c>
    </x:row>
    <x:row r="73">
      <x:c r="A73" s="37" t="str">
        <x:f>IF(Weekly_View!$W73="","",Weekly_View!$C73)</x:f>
      </x:c>
      <x:c r="B73" s="16" t="str">
        <x:f>IF(Weekly_View!$W73="","",Weekly_View!$A73)</x:f>
      </x:c>
      <x:c r="C73" s="16" t="str">
        <x:f>IF(Weekly_View!$W73="","",Weekly_View!$B73)</x:f>
      </x:c>
      <x:c r="D73" s="16" t="str">
        <x:f>IF(Weekly_View!$W73="","",Weekly_View!$D73)</x:f>
      </x:c>
      <x:c r="E73" s="16" t="str">
        <x:f>IF(Weekly_View!$W73="","",Weekly_View!$E73)</x:f>
      </x:c>
      <x:c r="F73" s="16" t="str">
        <x:f>IF(Weekly_View!$W73="","",Weekly_View!$F73)</x:f>
      </x:c>
      <x:c r="G73" s="16" t="str">
        <x:f>IF(Weekly_View!$W73="","",Weekly_View!$G73)</x:f>
      </x:c>
      <x:c r="H73" s="16" t="str">
        <x:f>IF(Weekly_View!$W73="","",Weekly_View!$H73)</x:f>
      </x:c>
      <x:c r="I73" s="19" t="str">
        <x:f>IF(Weekly_View!$W73="","",Weekly_View!$K73)</x:f>
      </x:c>
      <x:c r="J73" s="19" t="str">
        <x:f>IF(Weekly_View!$W73="","",Weekly_View!$L73)</x:f>
      </x:c>
      <x:c r="K73" s="19" t="str">
        <x:f>IF(Weekly_View!$W73="","",SUM(Weekly_View!$M73,Weekly_View!$O73,Weekly_View!$Q73,Weekly_View!$S73,Weekly_View!$U73))</x:f>
      </x:c>
      <x:c r="L73" s="19" t="str">
        <x:f>IF(Weekly_View!$W73="","",IFERROR(AVERAGE(Weekly_View!$N73,Weekly_View!$P73,Weekly_View!$R73,Weekly_View!$T73,Weekly_View!$V73),""))</x:f>
      </x:c>
      <x:c r="M73" s="16" t="str">
        <x:f>IF(Weekly_View!$W73="","",Weekly_View!$W73)</x:f>
      </x:c>
      <x:c r="N73" s="16" t="str">
        <x:f>IF(Weekly_View!$W73="","",Weekly_View!$X73)</x:f>
      </x:c>
    </x:row>
    <x:row r="74">
      <x:c r="A74" s="37" t="str">
        <x:f>IF(Weekly_View!$W74="","",Weekly_View!$C74)</x:f>
      </x:c>
      <x:c r="B74" s="16" t="str">
        <x:f>IF(Weekly_View!$W74="","",Weekly_View!$A74)</x:f>
      </x:c>
      <x:c r="C74" s="16" t="str">
        <x:f>IF(Weekly_View!$W74="","",Weekly_View!$B74)</x:f>
      </x:c>
      <x:c r="D74" s="16" t="str">
        <x:f>IF(Weekly_View!$W74="","",Weekly_View!$D74)</x:f>
      </x:c>
      <x:c r="E74" s="16" t="str">
        <x:f>IF(Weekly_View!$W74="","",Weekly_View!$E74)</x:f>
      </x:c>
      <x:c r="F74" s="16" t="str">
        <x:f>IF(Weekly_View!$W74="","",Weekly_View!$F74)</x:f>
      </x:c>
      <x:c r="G74" s="16" t="str">
        <x:f>IF(Weekly_View!$W74="","",Weekly_View!$G74)</x:f>
      </x:c>
      <x:c r="H74" s="16" t="str">
        <x:f>IF(Weekly_View!$W74="","",Weekly_View!$H74)</x:f>
      </x:c>
      <x:c r="I74" s="19" t="str">
        <x:f>IF(Weekly_View!$W74="","",Weekly_View!$K74)</x:f>
      </x:c>
      <x:c r="J74" s="19" t="str">
        <x:f>IF(Weekly_View!$W74="","",Weekly_View!$L74)</x:f>
      </x:c>
      <x:c r="K74" s="19" t="str">
        <x:f>IF(Weekly_View!$W74="","",SUM(Weekly_View!$M74,Weekly_View!$O74,Weekly_View!$Q74,Weekly_View!$S74,Weekly_View!$U74))</x:f>
      </x:c>
      <x:c r="L74" s="19" t="str">
        <x:f>IF(Weekly_View!$W74="","",IFERROR(AVERAGE(Weekly_View!$N74,Weekly_View!$P74,Weekly_View!$R74,Weekly_View!$T74,Weekly_View!$V74),""))</x:f>
      </x:c>
      <x:c r="M74" s="16" t="str">
        <x:f>IF(Weekly_View!$W74="","",Weekly_View!$W74)</x:f>
      </x:c>
      <x:c r="N74" s="16" t="str">
        <x:f>IF(Weekly_View!$W74="","",Weekly_View!$X74)</x:f>
      </x:c>
    </x:row>
    <x:row r="75">
      <x:c r="A75" s="37" t="str">
        <x:f>IF(Weekly_View!$W75="","",Weekly_View!$C75)</x:f>
      </x:c>
      <x:c r="B75" s="16" t="str">
        <x:f>IF(Weekly_View!$W75="","",Weekly_View!$A75)</x:f>
      </x:c>
      <x:c r="C75" s="16" t="str">
        <x:f>IF(Weekly_View!$W75="","",Weekly_View!$B75)</x:f>
      </x:c>
      <x:c r="D75" s="16" t="str">
        <x:f>IF(Weekly_View!$W75="","",Weekly_View!$D75)</x:f>
      </x:c>
      <x:c r="E75" s="16" t="str">
        <x:f>IF(Weekly_View!$W75="","",Weekly_View!$E75)</x:f>
      </x:c>
      <x:c r="F75" s="16" t="str">
        <x:f>IF(Weekly_View!$W75="","",Weekly_View!$F75)</x:f>
      </x:c>
      <x:c r="G75" s="16" t="str">
        <x:f>IF(Weekly_View!$W75="","",Weekly_View!$G75)</x:f>
      </x:c>
      <x:c r="H75" s="16" t="str">
        <x:f>IF(Weekly_View!$W75="","",Weekly_View!$H75)</x:f>
      </x:c>
      <x:c r="I75" s="19" t="str">
        <x:f>IF(Weekly_View!$W75="","",Weekly_View!$K75)</x:f>
      </x:c>
      <x:c r="J75" s="19" t="str">
        <x:f>IF(Weekly_View!$W75="","",Weekly_View!$L75)</x:f>
      </x:c>
      <x:c r="K75" s="19" t="str">
        <x:f>IF(Weekly_View!$W75="","",SUM(Weekly_View!$M75,Weekly_View!$O75,Weekly_View!$Q75,Weekly_View!$S75,Weekly_View!$U75))</x:f>
      </x:c>
      <x:c r="L75" s="19" t="str">
        <x:f>IF(Weekly_View!$W75="","",IFERROR(AVERAGE(Weekly_View!$N75,Weekly_View!$P75,Weekly_View!$R75,Weekly_View!$T75,Weekly_View!$V75),""))</x:f>
      </x:c>
      <x:c r="M75" s="16" t="str">
        <x:f>IF(Weekly_View!$W75="","",Weekly_View!$W75)</x:f>
      </x:c>
      <x:c r="N75" s="16" t="str">
        <x:f>IF(Weekly_View!$W75="","",Weekly_View!$X75)</x:f>
      </x:c>
    </x:row>
    <x:row r="76">
      <x:c r="A76" s="37" t="str">
        <x:f>IF(Weekly_View!$W76="","",Weekly_View!$C76)</x:f>
      </x:c>
      <x:c r="B76" s="16" t="str">
        <x:f>IF(Weekly_View!$W76="","",Weekly_View!$A76)</x:f>
      </x:c>
      <x:c r="C76" s="16" t="str">
        <x:f>IF(Weekly_View!$W76="","",Weekly_View!$B76)</x:f>
      </x:c>
      <x:c r="D76" s="16" t="str">
        <x:f>IF(Weekly_View!$W76="","",Weekly_View!$D76)</x:f>
      </x:c>
      <x:c r="E76" s="16" t="str">
        <x:f>IF(Weekly_View!$W76="","",Weekly_View!$E76)</x:f>
      </x:c>
      <x:c r="F76" s="16" t="str">
        <x:f>IF(Weekly_View!$W76="","",Weekly_View!$F76)</x:f>
      </x:c>
      <x:c r="G76" s="16" t="str">
        <x:f>IF(Weekly_View!$W76="","",Weekly_View!$G76)</x:f>
      </x:c>
      <x:c r="H76" s="16" t="str">
        <x:f>IF(Weekly_View!$W76="","",Weekly_View!$H76)</x:f>
      </x:c>
      <x:c r="I76" s="19" t="str">
        <x:f>IF(Weekly_View!$W76="","",Weekly_View!$K76)</x:f>
      </x:c>
      <x:c r="J76" s="19" t="str">
        <x:f>IF(Weekly_View!$W76="","",Weekly_View!$L76)</x:f>
      </x:c>
      <x:c r="K76" s="19" t="str">
        <x:f>IF(Weekly_View!$W76="","",SUM(Weekly_View!$M76,Weekly_View!$O76,Weekly_View!$Q76,Weekly_View!$S76,Weekly_View!$U76))</x:f>
      </x:c>
      <x:c r="L76" s="19" t="str">
        <x:f>IF(Weekly_View!$W76="","",IFERROR(AVERAGE(Weekly_View!$N76,Weekly_View!$P76,Weekly_View!$R76,Weekly_View!$T76,Weekly_View!$V76),""))</x:f>
      </x:c>
      <x:c r="M76" s="16" t="str">
        <x:f>IF(Weekly_View!$W76="","",Weekly_View!$W76)</x:f>
      </x:c>
      <x:c r="N76" s="16" t="str">
        <x:f>IF(Weekly_View!$W76="","",Weekly_View!$X76)</x:f>
      </x:c>
    </x:row>
    <x:row r="77">
      <x:c r="A77" s="37" t="str">
        <x:f>IF(Weekly_View!$W77="","",Weekly_View!$C77)</x:f>
      </x:c>
      <x:c r="B77" s="16" t="str">
        <x:f>IF(Weekly_View!$W77="","",Weekly_View!$A77)</x:f>
      </x:c>
      <x:c r="C77" s="16" t="str">
        <x:f>IF(Weekly_View!$W77="","",Weekly_View!$B77)</x:f>
      </x:c>
      <x:c r="D77" s="16" t="str">
        <x:f>IF(Weekly_View!$W77="","",Weekly_View!$D77)</x:f>
      </x:c>
      <x:c r="E77" s="16" t="str">
        <x:f>IF(Weekly_View!$W77="","",Weekly_View!$E77)</x:f>
      </x:c>
      <x:c r="F77" s="16" t="str">
        <x:f>IF(Weekly_View!$W77="","",Weekly_View!$F77)</x:f>
      </x:c>
      <x:c r="G77" s="16" t="str">
        <x:f>IF(Weekly_View!$W77="","",Weekly_View!$G77)</x:f>
      </x:c>
      <x:c r="H77" s="16" t="str">
        <x:f>IF(Weekly_View!$W77="","",Weekly_View!$H77)</x:f>
      </x:c>
      <x:c r="I77" s="19" t="str">
        <x:f>IF(Weekly_View!$W77="","",Weekly_View!$K77)</x:f>
      </x:c>
      <x:c r="J77" s="19" t="str">
        <x:f>IF(Weekly_View!$W77="","",Weekly_View!$L77)</x:f>
      </x:c>
      <x:c r="K77" s="19" t="str">
        <x:f>IF(Weekly_View!$W77="","",SUM(Weekly_View!$M77,Weekly_View!$O77,Weekly_View!$Q77,Weekly_View!$S77,Weekly_View!$U77))</x:f>
      </x:c>
      <x:c r="L77" s="19" t="str">
        <x:f>IF(Weekly_View!$W77="","",IFERROR(AVERAGE(Weekly_View!$N77,Weekly_View!$P77,Weekly_View!$R77,Weekly_View!$T77,Weekly_View!$V77),""))</x:f>
      </x:c>
      <x:c r="M77" s="16" t="str">
        <x:f>IF(Weekly_View!$W77="","",Weekly_View!$W77)</x:f>
      </x:c>
      <x:c r="N77" s="16" t="str">
        <x:f>IF(Weekly_View!$W77="","",Weekly_View!$X77)</x:f>
      </x:c>
    </x:row>
    <x:row r="78">
      <x:c r="A78" s="37" t="str">
        <x:f>IF(Weekly_View!$W78="","",Weekly_View!$C78)</x:f>
      </x:c>
      <x:c r="B78" s="16" t="str">
        <x:f>IF(Weekly_View!$W78="","",Weekly_View!$A78)</x:f>
      </x:c>
      <x:c r="C78" s="16" t="str">
        <x:f>IF(Weekly_View!$W78="","",Weekly_View!$B78)</x:f>
      </x:c>
      <x:c r="D78" s="16" t="str">
        <x:f>IF(Weekly_View!$W78="","",Weekly_View!$D78)</x:f>
      </x:c>
      <x:c r="E78" s="16" t="str">
        <x:f>IF(Weekly_View!$W78="","",Weekly_View!$E78)</x:f>
      </x:c>
      <x:c r="F78" s="16" t="str">
        <x:f>IF(Weekly_View!$W78="","",Weekly_View!$F78)</x:f>
      </x:c>
      <x:c r="G78" s="16" t="str">
        <x:f>IF(Weekly_View!$W78="","",Weekly_View!$G78)</x:f>
      </x:c>
      <x:c r="H78" s="16" t="str">
        <x:f>IF(Weekly_View!$W78="","",Weekly_View!$H78)</x:f>
      </x:c>
      <x:c r="I78" s="19" t="str">
        <x:f>IF(Weekly_View!$W78="","",Weekly_View!$K78)</x:f>
      </x:c>
      <x:c r="J78" s="19" t="str">
        <x:f>IF(Weekly_View!$W78="","",Weekly_View!$L78)</x:f>
      </x:c>
      <x:c r="K78" s="19" t="str">
        <x:f>IF(Weekly_View!$W78="","",SUM(Weekly_View!$M78,Weekly_View!$O78,Weekly_View!$Q78,Weekly_View!$S78,Weekly_View!$U78))</x:f>
      </x:c>
      <x:c r="L78" s="19" t="str">
        <x:f>IF(Weekly_View!$W78="","",IFERROR(AVERAGE(Weekly_View!$N78,Weekly_View!$P78,Weekly_View!$R78,Weekly_View!$T78,Weekly_View!$V78),""))</x:f>
      </x:c>
      <x:c r="M78" s="16" t="str">
        <x:f>IF(Weekly_View!$W78="","",Weekly_View!$W78)</x:f>
      </x:c>
      <x:c r="N78" s="16" t="str">
        <x:f>IF(Weekly_View!$W78="","",Weekly_View!$X78)</x:f>
      </x:c>
    </x:row>
    <x:row r="79">
      <x:c r="A79" s="37" t="str">
        <x:f>IF(Weekly_View!$W79="","",Weekly_View!$C79)</x:f>
      </x:c>
      <x:c r="B79" s="16" t="str">
        <x:f>IF(Weekly_View!$W79="","",Weekly_View!$A79)</x:f>
      </x:c>
      <x:c r="C79" s="16" t="str">
        <x:f>IF(Weekly_View!$W79="","",Weekly_View!$B79)</x:f>
      </x:c>
      <x:c r="D79" s="16" t="str">
        <x:f>IF(Weekly_View!$W79="","",Weekly_View!$D79)</x:f>
      </x:c>
      <x:c r="E79" s="16" t="str">
        <x:f>IF(Weekly_View!$W79="","",Weekly_View!$E79)</x:f>
      </x:c>
      <x:c r="F79" s="16" t="str">
        <x:f>IF(Weekly_View!$W79="","",Weekly_View!$F79)</x:f>
      </x:c>
      <x:c r="G79" s="16" t="str">
        <x:f>IF(Weekly_View!$W79="","",Weekly_View!$G79)</x:f>
      </x:c>
      <x:c r="H79" s="16" t="str">
        <x:f>IF(Weekly_View!$W79="","",Weekly_View!$H79)</x:f>
      </x:c>
      <x:c r="I79" s="19" t="str">
        <x:f>IF(Weekly_View!$W79="","",Weekly_View!$K79)</x:f>
      </x:c>
      <x:c r="J79" s="19" t="str">
        <x:f>IF(Weekly_View!$W79="","",Weekly_View!$L79)</x:f>
      </x:c>
      <x:c r="K79" s="19" t="str">
        <x:f>IF(Weekly_View!$W79="","",SUM(Weekly_View!$M79,Weekly_View!$O79,Weekly_View!$Q79,Weekly_View!$S79,Weekly_View!$U79))</x:f>
      </x:c>
      <x:c r="L79" s="19" t="str">
        <x:f>IF(Weekly_View!$W79="","",IFERROR(AVERAGE(Weekly_View!$N79,Weekly_View!$P79,Weekly_View!$R79,Weekly_View!$T79,Weekly_View!$V79),""))</x:f>
      </x:c>
      <x:c r="M79" s="16" t="str">
        <x:f>IF(Weekly_View!$W79="","",Weekly_View!$W79)</x:f>
      </x:c>
      <x:c r="N79" s="16" t="str">
        <x:f>IF(Weekly_View!$W79="","",Weekly_View!$X79)</x:f>
      </x:c>
    </x:row>
    <x:row r="80">
      <x:c r="A80" s="37" t="str">
        <x:f>IF(Weekly_View!$W80="","",Weekly_View!$C80)</x:f>
      </x:c>
      <x:c r="B80" s="16" t="str">
        <x:f>IF(Weekly_View!$W80="","",Weekly_View!$A80)</x:f>
      </x:c>
      <x:c r="C80" s="16" t="str">
        <x:f>IF(Weekly_View!$W80="","",Weekly_View!$B80)</x:f>
      </x:c>
      <x:c r="D80" s="16" t="str">
        <x:f>IF(Weekly_View!$W80="","",Weekly_View!$D80)</x:f>
      </x:c>
      <x:c r="E80" s="16" t="str">
        <x:f>IF(Weekly_View!$W80="","",Weekly_View!$E80)</x:f>
      </x:c>
      <x:c r="F80" s="16" t="str">
        <x:f>IF(Weekly_View!$W80="","",Weekly_View!$F80)</x:f>
      </x:c>
      <x:c r="G80" s="16" t="str">
        <x:f>IF(Weekly_View!$W80="","",Weekly_View!$G80)</x:f>
      </x:c>
      <x:c r="H80" s="16" t="str">
        <x:f>IF(Weekly_View!$W80="","",Weekly_View!$H80)</x:f>
      </x:c>
      <x:c r="I80" s="19" t="str">
        <x:f>IF(Weekly_View!$W80="","",Weekly_View!$K80)</x:f>
      </x:c>
      <x:c r="J80" s="19" t="str">
        <x:f>IF(Weekly_View!$W80="","",Weekly_View!$L80)</x:f>
      </x:c>
      <x:c r="K80" s="19" t="str">
        <x:f>IF(Weekly_View!$W80="","",SUM(Weekly_View!$M80,Weekly_View!$O80,Weekly_View!$Q80,Weekly_View!$S80,Weekly_View!$U80))</x:f>
      </x:c>
      <x:c r="L80" s="19" t="str">
        <x:f>IF(Weekly_View!$W80="","",IFERROR(AVERAGE(Weekly_View!$N80,Weekly_View!$P80,Weekly_View!$R80,Weekly_View!$T80,Weekly_View!$V80),""))</x:f>
      </x:c>
      <x:c r="M80" s="16" t="str">
        <x:f>IF(Weekly_View!$W80="","",Weekly_View!$W80)</x:f>
      </x:c>
      <x:c r="N80" s="16" t="str">
        <x:f>IF(Weekly_View!$W80="","",Weekly_View!$X80)</x:f>
      </x:c>
    </x:row>
    <x:row r="81">
      <x:c r="A81" s="37" t="str">
        <x:f>IF(Weekly_View!$W81="","",Weekly_View!$C81)</x:f>
      </x:c>
      <x:c r="B81" s="16" t="str">
        <x:f>IF(Weekly_View!$W81="","",Weekly_View!$A81)</x:f>
      </x:c>
      <x:c r="C81" s="16" t="str">
        <x:f>IF(Weekly_View!$W81="","",Weekly_View!$B81)</x:f>
      </x:c>
      <x:c r="D81" s="16" t="str">
        <x:f>IF(Weekly_View!$W81="","",Weekly_View!$D81)</x:f>
      </x:c>
      <x:c r="E81" s="16" t="str">
        <x:f>IF(Weekly_View!$W81="","",Weekly_View!$E81)</x:f>
      </x:c>
      <x:c r="F81" s="16" t="str">
        <x:f>IF(Weekly_View!$W81="","",Weekly_View!$F81)</x:f>
      </x:c>
      <x:c r="G81" s="16" t="str">
        <x:f>IF(Weekly_View!$W81="","",Weekly_View!$G81)</x:f>
      </x:c>
      <x:c r="H81" s="16" t="str">
        <x:f>IF(Weekly_View!$W81="","",Weekly_View!$H81)</x:f>
      </x:c>
      <x:c r="I81" s="19" t="str">
        <x:f>IF(Weekly_View!$W81="","",Weekly_View!$K81)</x:f>
      </x:c>
      <x:c r="J81" s="19" t="str">
        <x:f>IF(Weekly_View!$W81="","",Weekly_View!$L81)</x:f>
      </x:c>
      <x:c r="K81" s="19" t="str">
        <x:f>IF(Weekly_View!$W81="","",SUM(Weekly_View!$M81,Weekly_View!$O81,Weekly_View!$Q81,Weekly_View!$S81,Weekly_View!$U81))</x:f>
      </x:c>
      <x:c r="L81" s="19" t="str">
        <x:f>IF(Weekly_View!$W81="","",IFERROR(AVERAGE(Weekly_View!$N81,Weekly_View!$P81,Weekly_View!$R81,Weekly_View!$T81,Weekly_View!$V81),""))</x:f>
      </x:c>
      <x:c r="M81" s="16" t="str">
        <x:f>IF(Weekly_View!$W81="","",Weekly_View!$W81)</x:f>
      </x:c>
      <x:c r="N81" s="16" t="str">
        <x:f>IF(Weekly_View!$W81="","",Weekly_View!$X81)</x:f>
      </x:c>
    </x:row>
    <x:row r="82">
      <x:c r="A82" s="37" t="str">
        <x:f>IF(Weekly_View!$W82="","",Weekly_View!$C82)</x:f>
      </x:c>
      <x:c r="B82" s="16" t="str">
        <x:f>IF(Weekly_View!$W82="","",Weekly_View!$A82)</x:f>
      </x:c>
      <x:c r="C82" s="16" t="str">
        <x:f>IF(Weekly_View!$W82="","",Weekly_View!$B82)</x:f>
      </x:c>
      <x:c r="D82" s="16" t="str">
        <x:f>IF(Weekly_View!$W82="","",Weekly_View!$D82)</x:f>
      </x:c>
      <x:c r="E82" s="16" t="str">
        <x:f>IF(Weekly_View!$W82="","",Weekly_View!$E82)</x:f>
      </x:c>
      <x:c r="F82" s="16" t="str">
        <x:f>IF(Weekly_View!$W82="","",Weekly_View!$F82)</x:f>
      </x:c>
      <x:c r="G82" s="16" t="str">
        <x:f>IF(Weekly_View!$W82="","",Weekly_View!$G82)</x:f>
      </x:c>
      <x:c r="H82" s="16" t="str">
        <x:f>IF(Weekly_View!$W82="","",Weekly_View!$H82)</x:f>
      </x:c>
      <x:c r="I82" s="19" t="str">
        <x:f>IF(Weekly_View!$W82="","",Weekly_View!$K82)</x:f>
      </x:c>
      <x:c r="J82" s="19" t="str">
        <x:f>IF(Weekly_View!$W82="","",Weekly_View!$L82)</x:f>
      </x:c>
      <x:c r="K82" s="19" t="str">
        <x:f>IF(Weekly_View!$W82="","",SUM(Weekly_View!$M82,Weekly_View!$O82,Weekly_View!$Q82,Weekly_View!$S82,Weekly_View!$U82))</x:f>
      </x:c>
      <x:c r="L82" s="19" t="str">
        <x:f>IF(Weekly_View!$W82="","",IFERROR(AVERAGE(Weekly_View!$N82,Weekly_View!$P82,Weekly_View!$R82,Weekly_View!$T82,Weekly_View!$V82),""))</x:f>
      </x:c>
      <x:c r="M82" s="16" t="str">
        <x:f>IF(Weekly_View!$W82="","",Weekly_View!$W82)</x:f>
      </x:c>
      <x:c r="N82" s="16" t="str">
        <x:f>IF(Weekly_View!$W82="","",Weekly_View!$X82)</x:f>
      </x:c>
    </x:row>
    <x:row r="83">
      <x:c r="A83" s="37" t="str">
        <x:f>IF(Weekly_View!$W83="","",Weekly_View!$C83)</x:f>
      </x:c>
      <x:c r="B83" s="16" t="str">
        <x:f>IF(Weekly_View!$W83="","",Weekly_View!$A83)</x:f>
      </x:c>
      <x:c r="C83" s="16" t="str">
        <x:f>IF(Weekly_View!$W83="","",Weekly_View!$B83)</x:f>
      </x:c>
      <x:c r="D83" s="16" t="str">
        <x:f>IF(Weekly_View!$W83="","",Weekly_View!$D83)</x:f>
      </x:c>
      <x:c r="E83" s="16" t="str">
        <x:f>IF(Weekly_View!$W83="","",Weekly_View!$E83)</x:f>
      </x:c>
      <x:c r="F83" s="16" t="str">
        <x:f>IF(Weekly_View!$W83="","",Weekly_View!$F83)</x:f>
      </x:c>
      <x:c r="G83" s="16" t="str">
        <x:f>IF(Weekly_View!$W83="","",Weekly_View!$G83)</x:f>
      </x:c>
      <x:c r="H83" s="16" t="str">
        <x:f>IF(Weekly_View!$W83="","",Weekly_View!$H83)</x:f>
      </x:c>
      <x:c r="I83" s="19" t="str">
        <x:f>IF(Weekly_View!$W83="","",Weekly_View!$K83)</x:f>
      </x:c>
      <x:c r="J83" s="19" t="str">
        <x:f>IF(Weekly_View!$W83="","",Weekly_View!$L83)</x:f>
      </x:c>
      <x:c r="K83" s="19" t="str">
        <x:f>IF(Weekly_View!$W83="","",SUM(Weekly_View!$M83,Weekly_View!$O83,Weekly_View!$Q83,Weekly_View!$S83,Weekly_View!$U83))</x:f>
      </x:c>
      <x:c r="L83" s="19" t="str">
        <x:f>IF(Weekly_View!$W83="","",IFERROR(AVERAGE(Weekly_View!$N83,Weekly_View!$P83,Weekly_View!$R83,Weekly_View!$T83,Weekly_View!$V83),""))</x:f>
      </x:c>
      <x:c r="M83" s="16" t="str">
        <x:f>IF(Weekly_View!$W83="","",Weekly_View!$W83)</x:f>
      </x:c>
      <x:c r="N83" s="16" t="str">
        <x:f>IF(Weekly_View!$W83="","",Weekly_View!$X83)</x:f>
      </x:c>
    </x:row>
    <x:row r="84">
      <x:c r="A84" s="37" t="str">
        <x:f>IF(Weekly_View!$W84="","",Weekly_View!$C84)</x:f>
      </x:c>
      <x:c r="B84" s="16" t="str">
        <x:f>IF(Weekly_View!$W84="","",Weekly_View!$A84)</x:f>
      </x:c>
      <x:c r="C84" s="16" t="str">
        <x:f>IF(Weekly_View!$W84="","",Weekly_View!$B84)</x:f>
      </x:c>
      <x:c r="D84" s="16" t="str">
        <x:f>IF(Weekly_View!$W84="","",Weekly_View!$D84)</x:f>
      </x:c>
      <x:c r="E84" s="16" t="str">
        <x:f>IF(Weekly_View!$W84="","",Weekly_View!$E84)</x:f>
      </x:c>
      <x:c r="F84" s="16" t="str">
        <x:f>IF(Weekly_View!$W84="","",Weekly_View!$F84)</x:f>
      </x:c>
      <x:c r="G84" s="16" t="str">
        <x:f>IF(Weekly_View!$W84="","",Weekly_View!$G84)</x:f>
      </x:c>
      <x:c r="H84" s="16" t="str">
        <x:f>IF(Weekly_View!$W84="","",Weekly_View!$H84)</x:f>
      </x:c>
      <x:c r="I84" s="19" t="str">
        <x:f>IF(Weekly_View!$W84="","",Weekly_View!$K84)</x:f>
      </x:c>
      <x:c r="J84" s="19" t="str">
        <x:f>IF(Weekly_View!$W84="","",Weekly_View!$L84)</x:f>
      </x:c>
      <x:c r="K84" s="19" t="str">
        <x:f>IF(Weekly_View!$W84="","",SUM(Weekly_View!$M84,Weekly_View!$O84,Weekly_View!$Q84,Weekly_View!$S84,Weekly_View!$U84))</x:f>
      </x:c>
      <x:c r="L84" s="19" t="str">
        <x:f>IF(Weekly_View!$W84="","",IFERROR(AVERAGE(Weekly_View!$N84,Weekly_View!$P84,Weekly_View!$R84,Weekly_View!$T84,Weekly_View!$V84),""))</x:f>
      </x:c>
      <x:c r="M84" s="16" t="str">
        <x:f>IF(Weekly_View!$W84="","",Weekly_View!$W84)</x:f>
      </x:c>
      <x:c r="N84" s="16" t="str">
        <x:f>IF(Weekly_View!$W84="","",Weekly_View!$X84)</x:f>
      </x:c>
    </x:row>
    <x:row r="85">
      <x:c r="A85" s="37" t="str">
        <x:f>IF(Weekly_View!$W85="","",Weekly_View!$C85)</x:f>
      </x:c>
      <x:c r="B85" s="16" t="str">
        <x:f>IF(Weekly_View!$W85="","",Weekly_View!$A85)</x:f>
      </x:c>
      <x:c r="C85" s="16" t="str">
        <x:f>IF(Weekly_View!$W85="","",Weekly_View!$B85)</x:f>
      </x:c>
      <x:c r="D85" s="16" t="str">
        <x:f>IF(Weekly_View!$W85="","",Weekly_View!$D85)</x:f>
      </x:c>
      <x:c r="E85" s="16" t="str">
        <x:f>IF(Weekly_View!$W85="","",Weekly_View!$E85)</x:f>
      </x:c>
      <x:c r="F85" s="16" t="str">
        <x:f>IF(Weekly_View!$W85="","",Weekly_View!$F85)</x:f>
      </x:c>
      <x:c r="G85" s="16" t="str">
        <x:f>IF(Weekly_View!$W85="","",Weekly_View!$G85)</x:f>
      </x:c>
      <x:c r="H85" s="16" t="str">
        <x:f>IF(Weekly_View!$W85="","",Weekly_View!$H85)</x:f>
      </x:c>
      <x:c r="I85" s="19" t="str">
        <x:f>IF(Weekly_View!$W85="","",Weekly_View!$K85)</x:f>
      </x:c>
      <x:c r="J85" s="19" t="str">
        <x:f>IF(Weekly_View!$W85="","",Weekly_View!$L85)</x:f>
      </x:c>
      <x:c r="K85" s="19" t="str">
        <x:f>IF(Weekly_View!$W85="","",SUM(Weekly_View!$M85,Weekly_View!$O85,Weekly_View!$Q85,Weekly_View!$S85,Weekly_View!$U85))</x:f>
      </x:c>
      <x:c r="L85" s="19" t="str">
        <x:f>IF(Weekly_View!$W85="","",IFERROR(AVERAGE(Weekly_View!$N85,Weekly_View!$P85,Weekly_View!$R85,Weekly_View!$T85,Weekly_View!$V85),""))</x:f>
      </x:c>
      <x:c r="M85" s="16" t="str">
        <x:f>IF(Weekly_View!$W85="","",Weekly_View!$W85)</x:f>
      </x:c>
      <x:c r="N85" s="16" t="str">
        <x:f>IF(Weekly_View!$W85="","",Weekly_View!$X85)</x:f>
      </x:c>
    </x:row>
    <x:row r="86">
      <x:c r="A86" s="37" t="str">
        <x:f>IF(Weekly_View!$W86="","",Weekly_View!$C86)</x:f>
      </x:c>
      <x:c r="B86" s="16" t="str">
        <x:f>IF(Weekly_View!$W86="","",Weekly_View!$A86)</x:f>
      </x:c>
      <x:c r="C86" s="16" t="str">
        <x:f>IF(Weekly_View!$W86="","",Weekly_View!$B86)</x:f>
      </x:c>
      <x:c r="D86" s="16" t="str">
        <x:f>IF(Weekly_View!$W86="","",Weekly_View!$D86)</x:f>
      </x:c>
      <x:c r="E86" s="16" t="str">
        <x:f>IF(Weekly_View!$W86="","",Weekly_View!$E86)</x:f>
      </x:c>
      <x:c r="F86" s="16" t="str">
        <x:f>IF(Weekly_View!$W86="","",Weekly_View!$F86)</x:f>
      </x:c>
      <x:c r="G86" s="16" t="str">
        <x:f>IF(Weekly_View!$W86="","",Weekly_View!$G86)</x:f>
      </x:c>
      <x:c r="H86" s="16" t="str">
        <x:f>IF(Weekly_View!$W86="","",Weekly_View!$H86)</x:f>
      </x:c>
      <x:c r="I86" s="19" t="str">
        <x:f>IF(Weekly_View!$W86="","",Weekly_View!$K86)</x:f>
      </x:c>
      <x:c r="J86" s="19" t="str">
        <x:f>IF(Weekly_View!$W86="","",Weekly_View!$L86)</x:f>
      </x:c>
      <x:c r="K86" s="19" t="str">
        <x:f>IF(Weekly_View!$W86="","",SUM(Weekly_View!$M86,Weekly_View!$O86,Weekly_View!$Q86,Weekly_View!$S86,Weekly_View!$U86))</x:f>
      </x:c>
      <x:c r="L86" s="19" t="str">
        <x:f>IF(Weekly_View!$W86="","",IFERROR(AVERAGE(Weekly_View!$N86,Weekly_View!$P86,Weekly_View!$R86,Weekly_View!$T86,Weekly_View!$V86),""))</x:f>
      </x:c>
      <x:c r="M86" s="16" t="str">
        <x:f>IF(Weekly_View!$W86="","",Weekly_View!$W86)</x:f>
      </x:c>
      <x:c r="N86" s="16" t="str">
        <x:f>IF(Weekly_View!$W86="","",Weekly_View!$X86)</x:f>
      </x:c>
    </x:row>
    <x:row r="87">
      <x:c r="A87" s="37" t="str">
        <x:f>IF(Weekly_View!$W87="","",Weekly_View!$C87)</x:f>
      </x:c>
      <x:c r="B87" s="16" t="str">
        <x:f>IF(Weekly_View!$W87="","",Weekly_View!$A87)</x:f>
      </x:c>
      <x:c r="C87" s="16" t="str">
        <x:f>IF(Weekly_View!$W87="","",Weekly_View!$B87)</x:f>
      </x:c>
      <x:c r="D87" s="16" t="str">
        <x:f>IF(Weekly_View!$W87="","",Weekly_View!$D87)</x:f>
      </x:c>
      <x:c r="E87" s="16" t="str">
        <x:f>IF(Weekly_View!$W87="","",Weekly_View!$E87)</x:f>
      </x:c>
      <x:c r="F87" s="16" t="str">
        <x:f>IF(Weekly_View!$W87="","",Weekly_View!$F87)</x:f>
      </x:c>
      <x:c r="G87" s="16" t="str">
        <x:f>IF(Weekly_View!$W87="","",Weekly_View!$G87)</x:f>
      </x:c>
      <x:c r="H87" s="16" t="str">
        <x:f>IF(Weekly_View!$W87="","",Weekly_View!$H87)</x:f>
      </x:c>
      <x:c r="I87" s="19" t="str">
        <x:f>IF(Weekly_View!$W87="","",Weekly_View!$K87)</x:f>
      </x:c>
      <x:c r="J87" s="19" t="str">
        <x:f>IF(Weekly_View!$W87="","",Weekly_View!$L87)</x:f>
      </x:c>
      <x:c r="K87" s="19" t="str">
        <x:f>IF(Weekly_View!$W87="","",SUM(Weekly_View!$M87,Weekly_View!$O87,Weekly_View!$Q87,Weekly_View!$S87,Weekly_View!$U87))</x:f>
      </x:c>
      <x:c r="L87" s="19" t="str">
        <x:f>IF(Weekly_View!$W87="","",IFERROR(AVERAGE(Weekly_View!$N87,Weekly_View!$P87,Weekly_View!$R87,Weekly_View!$T87,Weekly_View!$V87),""))</x:f>
      </x:c>
      <x:c r="M87" s="16" t="str">
        <x:f>IF(Weekly_View!$W87="","",Weekly_View!$W87)</x:f>
      </x:c>
      <x:c r="N87" s="16" t="str">
        <x:f>IF(Weekly_View!$W87="","",Weekly_View!$X87)</x:f>
      </x:c>
    </x:row>
    <x:row r="88">
      <x:c r="A88" s="37" t="str">
        <x:f>IF(Weekly_View!$W88="","",Weekly_View!$C88)</x:f>
      </x:c>
      <x:c r="B88" s="16" t="str">
        <x:f>IF(Weekly_View!$W88="","",Weekly_View!$A88)</x:f>
      </x:c>
      <x:c r="C88" s="16" t="str">
        <x:f>IF(Weekly_View!$W88="","",Weekly_View!$B88)</x:f>
      </x:c>
      <x:c r="D88" s="16" t="str">
        <x:f>IF(Weekly_View!$W88="","",Weekly_View!$D88)</x:f>
      </x:c>
      <x:c r="E88" s="16" t="str">
        <x:f>IF(Weekly_View!$W88="","",Weekly_View!$E88)</x:f>
      </x:c>
      <x:c r="F88" s="16" t="str">
        <x:f>IF(Weekly_View!$W88="","",Weekly_View!$F88)</x:f>
      </x:c>
      <x:c r="G88" s="16" t="str">
        <x:f>IF(Weekly_View!$W88="","",Weekly_View!$G88)</x:f>
      </x:c>
      <x:c r="H88" s="16" t="str">
        <x:f>IF(Weekly_View!$W88="","",Weekly_View!$H88)</x:f>
      </x:c>
      <x:c r="I88" s="19" t="str">
        <x:f>IF(Weekly_View!$W88="","",Weekly_View!$K88)</x:f>
      </x:c>
      <x:c r="J88" s="19" t="str">
        <x:f>IF(Weekly_View!$W88="","",Weekly_View!$L88)</x:f>
      </x:c>
      <x:c r="K88" s="19" t="str">
        <x:f>IF(Weekly_View!$W88="","",SUM(Weekly_View!$M88,Weekly_View!$O88,Weekly_View!$Q88,Weekly_View!$S88,Weekly_View!$U88))</x:f>
      </x:c>
      <x:c r="L88" s="19" t="str">
        <x:f>IF(Weekly_View!$W88="","",IFERROR(AVERAGE(Weekly_View!$N88,Weekly_View!$P88,Weekly_View!$R88,Weekly_View!$T88,Weekly_View!$V88),""))</x:f>
      </x:c>
      <x:c r="M88" s="16" t="str">
        <x:f>IF(Weekly_View!$W88="","",Weekly_View!$W88)</x:f>
      </x:c>
      <x:c r="N88" s="16" t="str">
        <x:f>IF(Weekly_View!$W88="","",Weekly_View!$X88)</x:f>
      </x:c>
    </x:row>
    <x:row r="89">
      <x:c r="A89" s="37" t="str">
        <x:f>IF(Weekly_View!$W89="","",Weekly_View!$C89)</x:f>
      </x:c>
      <x:c r="B89" s="16" t="str">
        <x:f>IF(Weekly_View!$W89="","",Weekly_View!$A89)</x:f>
      </x:c>
      <x:c r="C89" s="16" t="str">
        <x:f>IF(Weekly_View!$W89="","",Weekly_View!$B89)</x:f>
      </x:c>
      <x:c r="D89" s="16" t="str">
        <x:f>IF(Weekly_View!$W89="","",Weekly_View!$D89)</x:f>
      </x:c>
      <x:c r="E89" s="16" t="str">
        <x:f>IF(Weekly_View!$W89="","",Weekly_View!$E89)</x:f>
      </x:c>
      <x:c r="F89" s="16" t="str">
        <x:f>IF(Weekly_View!$W89="","",Weekly_View!$F89)</x:f>
      </x:c>
      <x:c r="G89" s="16" t="str">
        <x:f>IF(Weekly_View!$W89="","",Weekly_View!$G89)</x:f>
      </x:c>
      <x:c r="H89" s="16" t="str">
        <x:f>IF(Weekly_View!$W89="","",Weekly_View!$H89)</x:f>
      </x:c>
      <x:c r="I89" s="19" t="str">
        <x:f>IF(Weekly_View!$W89="","",Weekly_View!$K89)</x:f>
      </x:c>
      <x:c r="J89" s="19" t="str">
        <x:f>IF(Weekly_View!$W89="","",Weekly_View!$L89)</x:f>
      </x:c>
      <x:c r="K89" s="19" t="str">
        <x:f>IF(Weekly_View!$W89="","",SUM(Weekly_View!$M89,Weekly_View!$O89,Weekly_View!$Q89,Weekly_View!$S89,Weekly_View!$U89))</x:f>
      </x:c>
      <x:c r="L89" s="19" t="str">
        <x:f>IF(Weekly_View!$W89="","",IFERROR(AVERAGE(Weekly_View!$N89,Weekly_View!$P89,Weekly_View!$R89,Weekly_View!$T89,Weekly_View!$V89),""))</x:f>
      </x:c>
      <x:c r="M89" s="16" t="str">
        <x:f>IF(Weekly_View!$W89="","",Weekly_View!$W89)</x:f>
      </x:c>
      <x:c r="N89" s="16" t="str">
        <x:f>IF(Weekly_View!$W89="","",Weekly_View!$X89)</x:f>
      </x:c>
    </x:row>
    <x:row r="90">
      <x:c r="A90" s="37" t="str">
        <x:f>IF(Weekly_View!$W90="","",Weekly_View!$C90)</x:f>
      </x:c>
      <x:c r="B90" s="16" t="str">
        <x:f>IF(Weekly_View!$W90="","",Weekly_View!$A90)</x:f>
      </x:c>
      <x:c r="C90" s="16" t="str">
        <x:f>IF(Weekly_View!$W90="","",Weekly_View!$B90)</x:f>
      </x:c>
      <x:c r="D90" s="16" t="str">
        <x:f>IF(Weekly_View!$W90="","",Weekly_View!$D90)</x:f>
      </x:c>
      <x:c r="E90" s="16" t="str">
        <x:f>IF(Weekly_View!$W90="","",Weekly_View!$E90)</x:f>
      </x:c>
      <x:c r="F90" s="16" t="str">
        <x:f>IF(Weekly_View!$W90="","",Weekly_View!$F90)</x:f>
      </x:c>
      <x:c r="G90" s="16" t="str">
        <x:f>IF(Weekly_View!$W90="","",Weekly_View!$G90)</x:f>
      </x:c>
      <x:c r="H90" s="16" t="str">
        <x:f>IF(Weekly_View!$W90="","",Weekly_View!$H90)</x:f>
      </x:c>
      <x:c r="I90" s="19" t="str">
        <x:f>IF(Weekly_View!$W90="","",Weekly_View!$K90)</x:f>
      </x:c>
      <x:c r="J90" s="19" t="str">
        <x:f>IF(Weekly_View!$W90="","",Weekly_View!$L90)</x:f>
      </x:c>
      <x:c r="K90" s="19" t="str">
        <x:f>IF(Weekly_View!$W90="","",SUM(Weekly_View!$M90,Weekly_View!$O90,Weekly_View!$Q90,Weekly_View!$S90,Weekly_View!$U90))</x:f>
      </x:c>
      <x:c r="L90" s="19" t="str">
        <x:f>IF(Weekly_View!$W90="","",IFERROR(AVERAGE(Weekly_View!$N90,Weekly_View!$P90,Weekly_View!$R90,Weekly_View!$T90,Weekly_View!$V90),""))</x:f>
      </x:c>
      <x:c r="M90" s="16" t="str">
        <x:f>IF(Weekly_View!$W90="","",Weekly_View!$W90)</x:f>
      </x:c>
      <x:c r="N90" s="16" t="str">
        <x:f>IF(Weekly_View!$W90="","",Weekly_View!$X90)</x:f>
      </x:c>
    </x:row>
    <x:row r="91">
      <x:c r="A91" s="37" t="str">
        <x:f>IF(Weekly_View!$W91="","",Weekly_View!$C91)</x:f>
      </x:c>
      <x:c r="B91" s="16" t="str">
        <x:f>IF(Weekly_View!$W91="","",Weekly_View!$A91)</x:f>
      </x:c>
      <x:c r="C91" s="16" t="str">
        <x:f>IF(Weekly_View!$W91="","",Weekly_View!$B91)</x:f>
      </x:c>
      <x:c r="D91" s="16" t="str">
        <x:f>IF(Weekly_View!$W91="","",Weekly_View!$D91)</x:f>
      </x:c>
      <x:c r="E91" s="16" t="str">
        <x:f>IF(Weekly_View!$W91="","",Weekly_View!$E91)</x:f>
      </x:c>
      <x:c r="F91" s="16" t="str">
        <x:f>IF(Weekly_View!$W91="","",Weekly_View!$F91)</x:f>
      </x:c>
      <x:c r="G91" s="16" t="str">
        <x:f>IF(Weekly_View!$W91="","",Weekly_View!$G91)</x:f>
      </x:c>
      <x:c r="H91" s="16" t="str">
        <x:f>IF(Weekly_View!$W91="","",Weekly_View!$H91)</x:f>
      </x:c>
      <x:c r="I91" s="19" t="str">
        <x:f>IF(Weekly_View!$W91="","",Weekly_View!$K91)</x:f>
      </x:c>
      <x:c r="J91" s="19" t="str">
        <x:f>IF(Weekly_View!$W91="","",Weekly_View!$L91)</x:f>
      </x:c>
      <x:c r="K91" s="19" t="str">
        <x:f>IF(Weekly_View!$W91="","",SUM(Weekly_View!$M91,Weekly_View!$O91,Weekly_View!$Q91,Weekly_View!$S91,Weekly_View!$U91))</x:f>
      </x:c>
      <x:c r="L91" s="19" t="str">
        <x:f>IF(Weekly_View!$W91="","",IFERROR(AVERAGE(Weekly_View!$N91,Weekly_View!$P91,Weekly_View!$R91,Weekly_View!$T91,Weekly_View!$V91),""))</x:f>
      </x:c>
      <x:c r="M91" s="16" t="str">
        <x:f>IF(Weekly_View!$W91="","",Weekly_View!$W91)</x:f>
      </x:c>
      <x:c r="N91" s="16" t="str">
        <x:f>IF(Weekly_View!$W91="","",Weekly_View!$X91)</x:f>
      </x:c>
    </x:row>
    <x:row r="92">
      <x:c r="A92" s="37" t="str">
        <x:f>IF(Weekly_View!$W92="","",Weekly_View!$C92)</x:f>
      </x:c>
      <x:c r="B92" s="16" t="str">
        <x:f>IF(Weekly_View!$W92="","",Weekly_View!$A92)</x:f>
      </x:c>
      <x:c r="C92" s="16" t="str">
        <x:f>IF(Weekly_View!$W92="","",Weekly_View!$B92)</x:f>
      </x:c>
      <x:c r="D92" s="16" t="str">
        <x:f>IF(Weekly_View!$W92="","",Weekly_View!$D92)</x:f>
      </x:c>
      <x:c r="E92" s="16" t="str">
        <x:f>IF(Weekly_View!$W92="","",Weekly_View!$E92)</x:f>
      </x:c>
      <x:c r="F92" s="16" t="str">
        <x:f>IF(Weekly_View!$W92="","",Weekly_View!$F92)</x:f>
      </x:c>
      <x:c r="G92" s="16" t="str">
        <x:f>IF(Weekly_View!$W92="","",Weekly_View!$G92)</x:f>
      </x:c>
      <x:c r="H92" s="16" t="str">
        <x:f>IF(Weekly_View!$W92="","",Weekly_View!$H92)</x:f>
      </x:c>
      <x:c r="I92" s="19" t="str">
        <x:f>IF(Weekly_View!$W92="","",Weekly_View!$K92)</x:f>
      </x:c>
      <x:c r="J92" s="19" t="str">
        <x:f>IF(Weekly_View!$W92="","",Weekly_View!$L92)</x:f>
      </x:c>
      <x:c r="K92" s="19" t="str">
        <x:f>IF(Weekly_View!$W92="","",SUM(Weekly_View!$M92,Weekly_View!$O92,Weekly_View!$Q92,Weekly_View!$S92,Weekly_View!$U92))</x:f>
      </x:c>
      <x:c r="L92" s="19" t="str">
        <x:f>IF(Weekly_View!$W92="","",IFERROR(AVERAGE(Weekly_View!$N92,Weekly_View!$P92,Weekly_View!$R92,Weekly_View!$T92,Weekly_View!$V92),""))</x:f>
      </x:c>
      <x:c r="M92" s="16" t="str">
        <x:f>IF(Weekly_View!$W92="","",Weekly_View!$W92)</x:f>
      </x:c>
      <x:c r="N92" s="16" t="str">
        <x:f>IF(Weekly_View!$W92="","",Weekly_View!$X92)</x:f>
      </x:c>
    </x:row>
    <x:row r="93">
      <x:c r="A93" s="37" t="str">
        <x:f>IF(Weekly_View!$W93="","",Weekly_View!$C93)</x:f>
      </x:c>
      <x:c r="B93" s="16" t="str">
        <x:f>IF(Weekly_View!$W93="","",Weekly_View!$A93)</x:f>
      </x:c>
      <x:c r="C93" s="16" t="str">
        <x:f>IF(Weekly_View!$W93="","",Weekly_View!$B93)</x:f>
      </x:c>
      <x:c r="D93" s="16" t="str">
        <x:f>IF(Weekly_View!$W93="","",Weekly_View!$D93)</x:f>
      </x:c>
      <x:c r="E93" s="16" t="str">
        <x:f>IF(Weekly_View!$W93="","",Weekly_View!$E93)</x:f>
      </x:c>
      <x:c r="F93" s="16" t="str">
        <x:f>IF(Weekly_View!$W93="","",Weekly_View!$F93)</x:f>
      </x:c>
      <x:c r="G93" s="16" t="str">
        <x:f>IF(Weekly_View!$W93="","",Weekly_View!$G93)</x:f>
      </x:c>
      <x:c r="H93" s="16" t="str">
        <x:f>IF(Weekly_View!$W93="","",Weekly_View!$H93)</x:f>
      </x:c>
      <x:c r="I93" s="19" t="str">
        <x:f>IF(Weekly_View!$W93="","",Weekly_View!$K93)</x:f>
      </x:c>
      <x:c r="J93" s="19" t="str">
        <x:f>IF(Weekly_View!$W93="","",Weekly_View!$L93)</x:f>
      </x:c>
      <x:c r="K93" s="19" t="str">
        <x:f>IF(Weekly_View!$W93="","",SUM(Weekly_View!$M93,Weekly_View!$O93,Weekly_View!$Q93,Weekly_View!$S93,Weekly_View!$U93))</x:f>
      </x:c>
      <x:c r="L93" s="19" t="str">
        <x:f>IF(Weekly_View!$W93="","",IFERROR(AVERAGE(Weekly_View!$N93,Weekly_View!$P93,Weekly_View!$R93,Weekly_View!$T93,Weekly_View!$V93),""))</x:f>
      </x:c>
      <x:c r="M93" s="16" t="str">
        <x:f>IF(Weekly_View!$W93="","",Weekly_View!$W93)</x:f>
      </x:c>
      <x:c r="N93" s="16" t="str">
        <x:f>IF(Weekly_View!$W93="","",Weekly_View!$X93)</x:f>
      </x:c>
    </x:row>
    <x:row r="94">
      <x:c r="A94" s="37" t="str">
        <x:f>IF(Weekly_View!$W94="","",Weekly_View!$C94)</x:f>
      </x:c>
      <x:c r="B94" s="16" t="str">
        <x:f>IF(Weekly_View!$W94="","",Weekly_View!$A94)</x:f>
      </x:c>
      <x:c r="C94" s="16" t="str">
        <x:f>IF(Weekly_View!$W94="","",Weekly_View!$B94)</x:f>
      </x:c>
      <x:c r="D94" s="16" t="str">
        <x:f>IF(Weekly_View!$W94="","",Weekly_View!$D94)</x:f>
      </x:c>
      <x:c r="E94" s="16" t="str">
        <x:f>IF(Weekly_View!$W94="","",Weekly_View!$E94)</x:f>
      </x:c>
      <x:c r="F94" s="16" t="str">
        <x:f>IF(Weekly_View!$W94="","",Weekly_View!$F94)</x:f>
      </x:c>
      <x:c r="G94" s="16" t="str">
        <x:f>IF(Weekly_View!$W94="","",Weekly_View!$G94)</x:f>
      </x:c>
      <x:c r="H94" s="16" t="str">
        <x:f>IF(Weekly_View!$W94="","",Weekly_View!$H94)</x:f>
      </x:c>
      <x:c r="I94" s="19" t="str">
        <x:f>IF(Weekly_View!$W94="","",Weekly_View!$K94)</x:f>
      </x:c>
      <x:c r="J94" s="19" t="str">
        <x:f>IF(Weekly_View!$W94="","",Weekly_View!$L94)</x:f>
      </x:c>
      <x:c r="K94" s="19" t="str">
        <x:f>IF(Weekly_View!$W94="","",SUM(Weekly_View!$M94,Weekly_View!$O94,Weekly_View!$Q94,Weekly_View!$S94,Weekly_View!$U94))</x:f>
      </x:c>
      <x:c r="L94" s="19" t="str">
        <x:f>IF(Weekly_View!$W94="","",IFERROR(AVERAGE(Weekly_View!$N94,Weekly_View!$P94,Weekly_View!$R94,Weekly_View!$T94,Weekly_View!$V94),""))</x:f>
      </x:c>
      <x:c r="M94" s="16" t="str">
        <x:f>IF(Weekly_View!$W94="","",Weekly_View!$W94)</x:f>
      </x:c>
      <x:c r="N94" s="16" t="str">
        <x:f>IF(Weekly_View!$W94="","",Weekly_View!$X94)</x:f>
      </x:c>
    </x:row>
    <x:row r="95">
      <x:c r="A95" s="37" t="str">
        <x:f>IF(Weekly_View!$W95="","",Weekly_View!$C95)</x:f>
      </x:c>
      <x:c r="B95" s="16" t="str">
        <x:f>IF(Weekly_View!$W95="","",Weekly_View!$A95)</x:f>
      </x:c>
      <x:c r="C95" s="16" t="str">
        <x:f>IF(Weekly_View!$W95="","",Weekly_View!$B95)</x:f>
      </x:c>
      <x:c r="D95" s="16" t="str">
        <x:f>IF(Weekly_View!$W95="","",Weekly_View!$D95)</x:f>
      </x:c>
      <x:c r="E95" s="16" t="str">
        <x:f>IF(Weekly_View!$W95="","",Weekly_View!$E95)</x:f>
      </x:c>
      <x:c r="F95" s="16" t="str">
        <x:f>IF(Weekly_View!$W95="","",Weekly_View!$F95)</x:f>
      </x:c>
      <x:c r="G95" s="16" t="str">
        <x:f>IF(Weekly_View!$W95="","",Weekly_View!$G95)</x:f>
      </x:c>
      <x:c r="H95" s="16" t="str">
        <x:f>IF(Weekly_View!$W95="","",Weekly_View!$H95)</x:f>
      </x:c>
      <x:c r="I95" s="19" t="str">
        <x:f>IF(Weekly_View!$W95="","",Weekly_View!$K95)</x:f>
      </x:c>
      <x:c r="J95" s="19" t="str">
        <x:f>IF(Weekly_View!$W95="","",Weekly_View!$L95)</x:f>
      </x:c>
      <x:c r="K95" s="19" t="str">
        <x:f>IF(Weekly_View!$W95="","",SUM(Weekly_View!$M95,Weekly_View!$O95,Weekly_View!$Q95,Weekly_View!$S95,Weekly_View!$U95))</x:f>
      </x:c>
      <x:c r="L95" s="19" t="str">
        <x:f>IF(Weekly_View!$W95="","",IFERROR(AVERAGE(Weekly_View!$N95,Weekly_View!$P95,Weekly_View!$R95,Weekly_View!$T95,Weekly_View!$V95),""))</x:f>
      </x:c>
      <x:c r="M95" s="16" t="str">
        <x:f>IF(Weekly_View!$W95="","",Weekly_View!$W95)</x:f>
      </x:c>
      <x:c r="N95" s="16" t="str">
        <x:f>IF(Weekly_View!$W95="","",Weekly_View!$X95)</x:f>
      </x:c>
    </x:row>
    <x:row r="96">
      <x:c r="A96" s="37" t="str">
        <x:f>IF(Weekly_View!$W96="","",Weekly_View!$C96)</x:f>
      </x:c>
      <x:c r="B96" s="16" t="str">
        <x:f>IF(Weekly_View!$W96="","",Weekly_View!$A96)</x:f>
      </x:c>
      <x:c r="C96" s="16" t="str">
        <x:f>IF(Weekly_View!$W96="","",Weekly_View!$B96)</x:f>
      </x:c>
      <x:c r="D96" s="16" t="str">
        <x:f>IF(Weekly_View!$W96="","",Weekly_View!$D96)</x:f>
      </x:c>
      <x:c r="E96" s="16" t="str">
        <x:f>IF(Weekly_View!$W96="","",Weekly_View!$E96)</x:f>
      </x:c>
      <x:c r="F96" s="16" t="str">
        <x:f>IF(Weekly_View!$W96="","",Weekly_View!$F96)</x:f>
      </x:c>
      <x:c r="G96" s="16" t="str">
        <x:f>IF(Weekly_View!$W96="","",Weekly_View!$G96)</x:f>
      </x:c>
      <x:c r="H96" s="16" t="str">
        <x:f>IF(Weekly_View!$W96="","",Weekly_View!$H96)</x:f>
      </x:c>
      <x:c r="I96" s="19" t="str">
        <x:f>IF(Weekly_View!$W96="","",Weekly_View!$K96)</x:f>
      </x:c>
      <x:c r="J96" s="19" t="str">
        <x:f>IF(Weekly_View!$W96="","",Weekly_View!$L96)</x:f>
      </x:c>
      <x:c r="K96" s="19" t="str">
        <x:f>IF(Weekly_View!$W96="","",SUM(Weekly_View!$M96,Weekly_View!$O96,Weekly_View!$Q96,Weekly_View!$S96,Weekly_View!$U96))</x:f>
      </x:c>
      <x:c r="L96" s="19" t="str">
        <x:f>IF(Weekly_View!$W96="","",IFERROR(AVERAGE(Weekly_View!$N96,Weekly_View!$P96,Weekly_View!$R96,Weekly_View!$T96,Weekly_View!$V96),""))</x:f>
      </x:c>
      <x:c r="M96" s="16" t="str">
        <x:f>IF(Weekly_View!$W96="","",Weekly_View!$W96)</x:f>
      </x:c>
      <x:c r="N96" s="16" t="str">
        <x:f>IF(Weekly_View!$W96="","",Weekly_View!$X96)</x:f>
      </x:c>
    </x:row>
    <x:row r="97">
      <x:c r="A97" s="37" t="str">
        <x:f>IF(Weekly_View!$W97="","",Weekly_View!$C97)</x:f>
      </x:c>
      <x:c r="B97" s="16" t="str">
        <x:f>IF(Weekly_View!$W97="","",Weekly_View!$A97)</x:f>
      </x:c>
      <x:c r="C97" s="16" t="str">
        <x:f>IF(Weekly_View!$W97="","",Weekly_View!$B97)</x:f>
      </x:c>
      <x:c r="D97" s="16" t="str">
        <x:f>IF(Weekly_View!$W97="","",Weekly_View!$D97)</x:f>
      </x:c>
      <x:c r="E97" s="16" t="str">
        <x:f>IF(Weekly_View!$W97="","",Weekly_View!$E97)</x:f>
      </x:c>
      <x:c r="F97" s="16" t="str">
        <x:f>IF(Weekly_View!$W97="","",Weekly_View!$F97)</x:f>
      </x:c>
      <x:c r="G97" s="16" t="str">
        <x:f>IF(Weekly_View!$W97="","",Weekly_View!$G97)</x:f>
      </x:c>
      <x:c r="H97" s="16" t="str">
        <x:f>IF(Weekly_View!$W97="","",Weekly_View!$H97)</x:f>
      </x:c>
      <x:c r="I97" s="19" t="str">
        <x:f>IF(Weekly_View!$W97="","",Weekly_View!$K97)</x:f>
      </x:c>
      <x:c r="J97" s="19" t="str">
        <x:f>IF(Weekly_View!$W97="","",Weekly_View!$L97)</x:f>
      </x:c>
      <x:c r="K97" s="19" t="str">
        <x:f>IF(Weekly_View!$W97="","",SUM(Weekly_View!$M97,Weekly_View!$O97,Weekly_View!$Q97,Weekly_View!$S97,Weekly_View!$U97))</x:f>
      </x:c>
      <x:c r="L97" s="19" t="str">
        <x:f>IF(Weekly_View!$W97="","",IFERROR(AVERAGE(Weekly_View!$N97,Weekly_View!$P97,Weekly_View!$R97,Weekly_View!$T97,Weekly_View!$V97),""))</x:f>
      </x:c>
      <x:c r="M97" s="16" t="str">
        <x:f>IF(Weekly_View!$W97="","",Weekly_View!$W97)</x:f>
      </x:c>
      <x:c r="N97" s="16" t="str">
        <x:f>IF(Weekly_View!$W97="","",Weekly_View!$X97)</x:f>
      </x:c>
    </x:row>
    <x:row r="98">
      <x:c r="A98" s="37" t="str">
        <x:f>IF(Weekly_View!$W98="","",Weekly_View!$C98)</x:f>
      </x:c>
      <x:c r="B98" s="16" t="str">
        <x:f>IF(Weekly_View!$W98="","",Weekly_View!$A98)</x:f>
      </x:c>
      <x:c r="C98" s="16" t="str">
        <x:f>IF(Weekly_View!$W98="","",Weekly_View!$B98)</x:f>
      </x:c>
      <x:c r="D98" s="16" t="str">
        <x:f>IF(Weekly_View!$W98="","",Weekly_View!$D98)</x:f>
      </x:c>
      <x:c r="E98" s="16" t="str">
        <x:f>IF(Weekly_View!$W98="","",Weekly_View!$E98)</x:f>
      </x:c>
      <x:c r="F98" s="16" t="str">
        <x:f>IF(Weekly_View!$W98="","",Weekly_View!$F98)</x:f>
      </x:c>
      <x:c r="G98" s="16" t="str">
        <x:f>IF(Weekly_View!$W98="","",Weekly_View!$G98)</x:f>
      </x:c>
      <x:c r="H98" s="16" t="str">
        <x:f>IF(Weekly_View!$W98="","",Weekly_View!$H98)</x:f>
      </x:c>
      <x:c r="I98" s="19" t="str">
        <x:f>IF(Weekly_View!$W98="","",Weekly_View!$K98)</x:f>
      </x:c>
      <x:c r="J98" s="19" t="str">
        <x:f>IF(Weekly_View!$W98="","",Weekly_View!$L98)</x:f>
      </x:c>
      <x:c r="K98" s="19" t="str">
        <x:f>IF(Weekly_View!$W98="","",SUM(Weekly_View!$M98,Weekly_View!$O98,Weekly_View!$Q98,Weekly_View!$S98,Weekly_View!$U98))</x:f>
      </x:c>
      <x:c r="L98" s="19" t="str">
        <x:f>IF(Weekly_View!$W98="","",IFERROR(AVERAGE(Weekly_View!$N98,Weekly_View!$P98,Weekly_View!$R98,Weekly_View!$T98,Weekly_View!$V98),""))</x:f>
      </x:c>
      <x:c r="M98" s="16" t="str">
        <x:f>IF(Weekly_View!$W98="","",Weekly_View!$W98)</x:f>
      </x:c>
      <x:c r="N98" s="16" t="str">
        <x:f>IF(Weekly_View!$W98="","",Weekly_View!$X98)</x:f>
      </x:c>
    </x:row>
    <x:row r="99">
      <x:c r="A99" s="37" t="str">
        <x:f>IF(Weekly_View!$W99="","",Weekly_View!$C99)</x:f>
      </x:c>
      <x:c r="B99" s="16" t="str">
        <x:f>IF(Weekly_View!$W99="","",Weekly_View!$A99)</x:f>
      </x:c>
      <x:c r="C99" s="16" t="str">
        <x:f>IF(Weekly_View!$W99="","",Weekly_View!$B99)</x:f>
      </x:c>
      <x:c r="D99" s="16" t="str">
        <x:f>IF(Weekly_View!$W99="","",Weekly_View!$D99)</x:f>
      </x:c>
      <x:c r="E99" s="16" t="str">
        <x:f>IF(Weekly_View!$W99="","",Weekly_View!$E99)</x:f>
      </x:c>
      <x:c r="F99" s="16" t="str">
        <x:f>IF(Weekly_View!$W99="","",Weekly_View!$F99)</x:f>
      </x:c>
      <x:c r="G99" s="16" t="str">
        <x:f>IF(Weekly_View!$W99="","",Weekly_View!$G99)</x:f>
      </x:c>
      <x:c r="H99" s="16" t="str">
        <x:f>IF(Weekly_View!$W99="","",Weekly_View!$H99)</x:f>
      </x:c>
      <x:c r="I99" s="19" t="str">
        <x:f>IF(Weekly_View!$W99="","",Weekly_View!$K99)</x:f>
      </x:c>
      <x:c r="J99" s="19" t="str">
        <x:f>IF(Weekly_View!$W99="","",Weekly_View!$L99)</x:f>
      </x:c>
      <x:c r="K99" s="19" t="str">
        <x:f>IF(Weekly_View!$W99="","",SUM(Weekly_View!$M99,Weekly_View!$O99,Weekly_View!$Q99,Weekly_View!$S99,Weekly_View!$U99))</x:f>
      </x:c>
      <x:c r="L99" s="19" t="str">
        <x:f>IF(Weekly_View!$W99="","",IFERROR(AVERAGE(Weekly_View!$N99,Weekly_View!$P99,Weekly_View!$R99,Weekly_View!$T99,Weekly_View!$V99),""))</x:f>
      </x:c>
      <x:c r="M99" s="16" t="str">
        <x:f>IF(Weekly_View!$W99="","",Weekly_View!$W99)</x:f>
      </x:c>
      <x:c r="N99" s="16" t="str">
        <x:f>IF(Weekly_View!$W99="","",Weekly_View!$X99)</x:f>
      </x:c>
    </x:row>
    <x:row r="100">
      <x:c r="A100" s="37" t="str">
        <x:f>IF(Weekly_View!$W100="","",Weekly_View!$C100)</x:f>
      </x:c>
      <x:c r="B100" s="16" t="str">
        <x:f>IF(Weekly_View!$W100="","",Weekly_View!$A100)</x:f>
      </x:c>
      <x:c r="C100" s="16" t="str">
        <x:f>IF(Weekly_View!$W100="","",Weekly_View!$B100)</x:f>
      </x:c>
      <x:c r="D100" s="16" t="str">
        <x:f>IF(Weekly_View!$W100="","",Weekly_View!$D100)</x:f>
      </x:c>
      <x:c r="E100" s="16" t="str">
        <x:f>IF(Weekly_View!$W100="","",Weekly_View!$E100)</x:f>
      </x:c>
      <x:c r="F100" s="16" t="str">
        <x:f>IF(Weekly_View!$W100="","",Weekly_View!$F100)</x:f>
      </x:c>
      <x:c r="G100" s="16" t="str">
        <x:f>IF(Weekly_View!$W100="","",Weekly_View!$G100)</x:f>
      </x:c>
      <x:c r="H100" s="16" t="str">
        <x:f>IF(Weekly_View!$W100="","",Weekly_View!$H100)</x:f>
      </x:c>
      <x:c r="I100" s="19" t="str">
        <x:f>IF(Weekly_View!$W100="","",Weekly_View!$K100)</x:f>
      </x:c>
      <x:c r="J100" s="19" t="str">
        <x:f>IF(Weekly_View!$W100="","",Weekly_View!$L100)</x:f>
      </x:c>
      <x:c r="K100" s="19" t="str">
        <x:f>IF(Weekly_View!$W100="","",SUM(Weekly_View!$M100,Weekly_View!$O100,Weekly_View!$Q100,Weekly_View!$S100,Weekly_View!$U100))</x:f>
      </x:c>
      <x:c r="L100" s="19" t="str">
        <x:f>IF(Weekly_View!$W100="","",IFERROR(AVERAGE(Weekly_View!$N100,Weekly_View!$P100,Weekly_View!$R100,Weekly_View!$T100,Weekly_View!$V100),""))</x:f>
      </x:c>
      <x:c r="M100" s="16" t="str">
        <x:f>IF(Weekly_View!$W100="","",Weekly_View!$W100)</x:f>
      </x:c>
      <x:c r="N100" s="16" t="str">
        <x:f>IF(Weekly_View!$W100="","",Weekly_View!$X100)</x:f>
      </x:c>
    </x:row>
    <x:row r="101">
      <x:c r="A101" s="37" t="str">
        <x:f>IF(Weekly_View!$W101="","",Weekly_View!$C101)</x:f>
      </x:c>
      <x:c r="B101" s="16" t="str">
        <x:f>IF(Weekly_View!$W101="","",Weekly_View!$A101)</x:f>
      </x:c>
      <x:c r="C101" s="16" t="str">
        <x:f>IF(Weekly_View!$W101="","",Weekly_View!$B101)</x:f>
      </x:c>
      <x:c r="D101" s="16" t="str">
        <x:f>IF(Weekly_View!$W101="","",Weekly_View!$D101)</x:f>
      </x:c>
      <x:c r="E101" s="16" t="str">
        <x:f>IF(Weekly_View!$W101="","",Weekly_View!$E101)</x:f>
      </x:c>
      <x:c r="F101" s="16" t="str">
        <x:f>IF(Weekly_View!$W101="","",Weekly_View!$F101)</x:f>
      </x:c>
      <x:c r="G101" s="16" t="str">
        <x:f>IF(Weekly_View!$W101="","",Weekly_View!$G101)</x:f>
      </x:c>
      <x:c r="H101" s="16" t="str">
        <x:f>IF(Weekly_View!$W101="","",Weekly_View!$H101)</x:f>
      </x:c>
      <x:c r="I101" s="19" t="str">
        <x:f>IF(Weekly_View!$W101="","",Weekly_View!$K101)</x:f>
      </x:c>
      <x:c r="J101" s="19" t="str">
        <x:f>IF(Weekly_View!$W101="","",Weekly_View!$L101)</x:f>
      </x:c>
      <x:c r="K101" s="19" t="str">
        <x:f>IF(Weekly_View!$W101="","",SUM(Weekly_View!$M101,Weekly_View!$O101,Weekly_View!$Q101,Weekly_View!$S101,Weekly_View!$U101))</x:f>
      </x:c>
      <x:c r="L101" s="19" t="str">
        <x:f>IF(Weekly_View!$W101="","",IFERROR(AVERAGE(Weekly_View!$N101,Weekly_View!$P101,Weekly_View!$R101,Weekly_View!$T101,Weekly_View!$V101),""))</x:f>
      </x:c>
      <x:c r="M101" s="16" t="str">
        <x:f>IF(Weekly_View!$W101="","",Weekly_View!$W101)</x:f>
      </x:c>
      <x:c r="N101" s="16" t="str">
        <x:f>IF(Weekly_View!$W101="","",Weekly_View!$X101)</x:f>
      </x:c>
    </x:row>
    <x:row r="102">
      <x:c r="A102" s="37" t="str">
        <x:f>IF(Weekly_View!$W102="","",Weekly_View!$C102)</x:f>
      </x:c>
      <x:c r="B102" s="16" t="str">
        <x:f>IF(Weekly_View!$W102="","",Weekly_View!$A102)</x:f>
      </x:c>
      <x:c r="C102" s="16" t="str">
        <x:f>IF(Weekly_View!$W102="","",Weekly_View!$B102)</x:f>
      </x:c>
      <x:c r="D102" s="16" t="str">
        <x:f>IF(Weekly_View!$W102="","",Weekly_View!$D102)</x:f>
      </x:c>
      <x:c r="E102" s="16" t="str">
        <x:f>IF(Weekly_View!$W102="","",Weekly_View!$E102)</x:f>
      </x:c>
      <x:c r="F102" s="16" t="str">
        <x:f>IF(Weekly_View!$W102="","",Weekly_View!$F102)</x:f>
      </x:c>
      <x:c r="G102" s="16" t="str">
        <x:f>IF(Weekly_View!$W102="","",Weekly_View!$G102)</x:f>
      </x:c>
      <x:c r="H102" s="16" t="str">
        <x:f>IF(Weekly_View!$W102="","",Weekly_View!$H102)</x:f>
      </x:c>
      <x:c r="I102" s="19" t="str">
        <x:f>IF(Weekly_View!$W102="","",Weekly_View!$K102)</x:f>
      </x:c>
      <x:c r="J102" s="19" t="str">
        <x:f>IF(Weekly_View!$W102="","",Weekly_View!$L102)</x:f>
      </x:c>
      <x:c r="K102" s="19" t="str">
        <x:f>IF(Weekly_View!$W102="","",SUM(Weekly_View!$M102,Weekly_View!$O102,Weekly_View!$Q102,Weekly_View!$S102,Weekly_View!$U102))</x:f>
      </x:c>
      <x:c r="L102" s="19" t="str">
        <x:f>IF(Weekly_View!$W102="","",IFERROR(AVERAGE(Weekly_View!$N102,Weekly_View!$P102,Weekly_View!$R102,Weekly_View!$T102,Weekly_View!$V102),""))</x:f>
      </x:c>
      <x:c r="M102" s="16" t="str">
        <x:f>IF(Weekly_View!$W102="","",Weekly_View!$W102)</x:f>
      </x:c>
      <x:c r="N102" s="16" t="str">
        <x:f>IF(Weekly_View!$W102="","",Weekly_View!$X102)</x:f>
      </x:c>
    </x:row>
    <x:row r="103">
      <x:c r="A103" s="37" t="str">
        <x:f>IF(Weekly_View!$W103="","",Weekly_View!$C103)</x:f>
      </x:c>
      <x:c r="B103" s="16" t="str">
        <x:f>IF(Weekly_View!$W103="","",Weekly_View!$A103)</x:f>
      </x:c>
      <x:c r="C103" s="16" t="str">
        <x:f>IF(Weekly_View!$W103="","",Weekly_View!$B103)</x:f>
      </x:c>
      <x:c r="D103" s="16" t="str">
        <x:f>IF(Weekly_View!$W103="","",Weekly_View!$D103)</x:f>
      </x:c>
      <x:c r="E103" s="16" t="str">
        <x:f>IF(Weekly_View!$W103="","",Weekly_View!$E103)</x:f>
      </x:c>
      <x:c r="F103" s="16" t="str">
        <x:f>IF(Weekly_View!$W103="","",Weekly_View!$F103)</x:f>
      </x:c>
      <x:c r="G103" s="16" t="str">
        <x:f>IF(Weekly_View!$W103="","",Weekly_View!$G103)</x:f>
      </x:c>
      <x:c r="H103" s="16" t="str">
        <x:f>IF(Weekly_View!$W103="","",Weekly_View!$H103)</x:f>
      </x:c>
      <x:c r="I103" s="19" t="str">
        <x:f>IF(Weekly_View!$W103="","",Weekly_View!$K103)</x:f>
      </x:c>
      <x:c r="J103" s="19" t="str">
        <x:f>IF(Weekly_View!$W103="","",Weekly_View!$L103)</x:f>
      </x:c>
      <x:c r="K103" s="19" t="str">
        <x:f>IF(Weekly_View!$W103="","",SUM(Weekly_View!$M103,Weekly_View!$O103,Weekly_View!$Q103,Weekly_View!$S103,Weekly_View!$U103))</x:f>
      </x:c>
      <x:c r="L103" s="19" t="str">
        <x:f>IF(Weekly_View!$W103="","",IFERROR(AVERAGE(Weekly_View!$N103,Weekly_View!$P103,Weekly_View!$R103,Weekly_View!$T103,Weekly_View!$V103),""))</x:f>
      </x:c>
      <x:c r="M103" s="16" t="str">
        <x:f>IF(Weekly_View!$W103="","",Weekly_View!$W103)</x:f>
      </x:c>
      <x:c r="N103" s="16" t="str">
        <x:f>IF(Weekly_View!$W103="","",Weekly_View!$X103)</x:f>
      </x:c>
    </x:row>
    <x:row r="104">
      <x:c r="A104" s="37" t="str">
        <x:f>IF(Weekly_View!$W104="","",Weekly_View!$C104)</x:f>
      </x:c>
      <x:c r="B104" s="16" t="str">
        <x:f>IF(Weekly_View!$W104="","",Weekly_View!$A104)</x:f>
      </x:c>
      <x:c r="C104" s="16" t="str">
        <x:f>IF(Weekly_View!$W104="","",Weekly_View!$B104)</x:f>
      </x:c>
      <x:c r="D104" s="16" t="str">
        <x:f>IF(Weekly_View!$W104="","",Weekly_View!$D104)</x:f>
      </x:c>
      <x:c r="E104" s="16" t="str">
        <x:f>IF(Weekly_View!$W104="","",Weekly_View!$E104)</x:f>
      </x:c>
      <x:c r="F104" s="16" t="str">
        <x:f>IF(Weekly_View!$W104="","",Weekly_View!$F104)</x:f>
      </x:c>
      <x:c r="G104" s="16" t="str">
        <x:f>IF(Weekly_View!$W104="","",Weekly_View!$G104)</x:f>
      </x:c>
      <x:c r="H104" s="16" t="str">
        <x:f>IF(Weekly_View!$W104="","",Weekly_View!$H104)</x:f>
      </x:c>
      <x:c r="I104" s="19" t="str">
        <x:f>IF(Weekly_View!$W104="","",Weekly_View!$K104)</x:f>
      </x:c>
      <x:c r="J104" s="19" t="str">
        <x:f>IF(Weekly_View!$W104="","",Weekly_View!$L104)</x:f>
      </x:c>
      <x:c r="K104" s="19" t="str">
        <x:f>IF(Weekly_View!$W104="","",SUM(Weekly_View!$M104,Weekly_View!$O104,Weekly_View!$Q104,Weekly_View!$S104,Weekly_View!$U104))</x:f>
      </x:c>
      <x:c r="L104" s="19" t="str">
        <x:f>IF(Weekly_View!$W104="","",IFERROR(AVERAGE(Weekly_View!$N104,Weekly_View!$P104,Weekly_View!$R104,Weekly_View!$T104,Weekly_View!$V104),""))</x:f>
      </x:c>
      <x:c r="M104" s="16" t="str">
        <x:f>IF(Weekly_View!$W104="","",Weekly_View!$W104)</x:f>
      </x:c>
      <x:c r="N104" s="16" t="str">
        <x:f>IF(Weekly_View!$W104="","",Weekly_View!$X104)</x:f>
      </x:c>
    </x:row>
    <x:row r="105">
      <x:c r="A105" s="37" t="str">
        <x:f>IF(Weekly_View!$W105="","",Weekly_View!$C105)</x:f>
      </x:c>
      <x:c r="B105" s="16" t="str">
        <x:f>IF(Weekly_View!$W105="","",Weekly_View!$A105)</x:f>
      </x:c>
      <x:c r="C105" s="16" t="str">
        <x:f>IF(Weekly_View!$W105="","",Weekly_View!$B105)</x:f>
      </x:c>
      <x:c r="D105" s="16" t="str">
        <x:f>IF(Weekly_View!$W105="","",Weekly_View!$D105)</x:f>
      </x:c>
      <x:c r="E105" s="16" t="str">
        <x:f>IF(Weekly_View!$W105="","",Weekly_View!$E105)</x:f>
      </x:c>
      <x:c r="F105" s="16" t="str">
        <x:f>IF(Weekly_View!$W105="","",Weekly_View!$F105)</x:f>
      </x:c>
      <x:c r="G105" s="16" t="str">
        <x:f>IF(Weekly_View!$W105="","",Weekly_View!$G105)</x:f>
      </x:c>
      <x:c r="H105" s="16" t="str">
        <x:f>IF(Weekly_View!$W105="","",Weekly_View!$H105)</x:f>
      </x:c>
      <x:c r="I105" s="19" t="str">
        <x:f>IF(Weekly_View!$W105="","",Weekly_View!$K105)</x:f>
      </x:c>
      <x:c r="J105" s="19" t="str">
        <x:f>IF(Weekly_View!$W105="","",Weekly_View!$L105)</x:f>
      </x:c>
      <x:c r="K105" s="19" t="str">
        <x:f>IF(Weekly_View!$W105="","",SUM(Weekly_View!$M105,Weekly_View!$O105,Weekly_View!$Q105,Weekly_View!$S105,Weekly_View!$U105))</x:f>
      </x:c>
      <x:c r="L105" s="19" t="str">
        <x:f>IF(Weekly_View!$W105="","",IFERROR(AVERAGE(Weekly_View!$N105,Weekly_View!$P105,Weekly_View!$R105,Weekly_View!$T105,Weekly_View!$V105),""))</x:f>
      </x:c>
      <x:c r="M105" s="16" t="str">
        <x:f>IF(Weekly_View!$W105="","",Weekly_View!$W105)</x:f>
      </x:c>
      <x:c r="N105" s="16" t="str">
        <x:f>IF(Weekly_View!$W105="","",Weekly_View!$X105)</x:f>
      </x:c>
    </x:row>
    <x:row r="106">
      <x:c r="A106" s="37" t="str">
        <x:f>IF(Weekly_View!$W106="","",Weekly_View!$C106)</x:f>
      </x:c>
      <x:c r="B106" s="16" t="str">
        <x:f>IF(Weekly_View!$W106="","",Weekly_View!$A106)</x:f>
      </x:c>
      <x:c r="C106" s="16" t="str">
        <x:f>IF(Weekly_View!$W106="","",Weekly_View!$B106)</x:f>
      </x:c>
      <x:c r="D106" s="16" t="str">
        <x:f>IF(Weekly_View!$W106="","",Weekly_View!$D106)</x:f>
      </x:c>
      <x:c r="E106" s="16" t="str">
        <x:f>IF(Weekly_View!$W106="","",Weekly_View!$E106)</x:f>
      </x:c>
      <x:c r="F106" s="16" t="str">
        <x:f>IF(Weekly_View!$W106="","",Weekly_View!$F106)</x:f>
      </x:c>
      <x:c r="G106" s="16" t="str">
        <x:f>IF(Weekly_View!$W106="","",Weekly_View!$G106)</x:f>
      </x:c>
      <x:c r="H106" s="16" t="str">
        <x:f>IF(Weekly_View!$W106="","",Weekly_View!$H106)</x:f>
      </x:c>
      <x:c r="I106" s="19" t="str">
        <x:f>IF(Weekly_View!$W106="","",Weekly_View!$K106)</x:f>
      </x:c>
      <x:c r="J106" s="19" t="str">
        <x:f>IF(Weekly_View!$W106="","",Weekly_View!$L106)</x:f>
      </x:c>
      <x:c r="K106" s="19" t="str">
        <x:f>IF(Weekly_View!$W106="","",SUM(Weekly_View!$M106,Weekly_View!$O106,Weekly_View!$Q106,Weekly_View!$S106,Weekly_View!$U106))</x:f>
      </x:c>
      <x:c r="L106" s="19" t="str">
        <x:f>IF(Weekly_View!$W106="","",IFERROR(AVERAGE(Weekly_View!$N106,Weekly_View!$P106,Weekly_View!$R106,Weekly_View!$T106,Weekly_View!$V106),""))</x:f>
      </x:c>
      <x:c r="M106" s="16" t="str">
        <x:f>IF(Weekly_View!$W106="","",Weekly_View!$W106)</x:f>
      </x:c>
      <x:c r="N106" s="16" t="str">
        <x:f>IF(Weekly_View!$W106="","",Weekly_View!$X106)</x:f>
      </x:c>
    </x:row>
    <x:row r="107">
      <x:c r="A107" s="37" t="str">
        <x:f>IF(Weekly_View!$W107="","",Weekly_View!$C107)</x:f>
      </x:c>
      <x:c r="B107" s="16" t="str">
        <x:f>IF(Weekly_View!$W107="","",Weekly_View!$A107)</x:f>
      </x:c>
      <x:c r="C107" s="16" t="str">
        <x:f>IF(Weekly_View!$W107="","",Weekly_View!$B107)</x:f>
      </x:c>
      <x:c r="D107" s="16" t="str">
        <x:f>IF(Weekly_View!$W107="","",Weekly_View!$D107)</x:f>
      </x:c>
      <x:c r="E107" s="16" t="str">
        <x:f>IF(Weekly_View!$W107="","",Weekly_View!$E107)</x:f>
      </x:c>
      <x:c r="F107" s="16" t="str">
        <x:f>IF(Weekly_View!$W107="","",Weekly_View!$F107)</x:f>
      </x:c>
      <x:c r="G107" s="16" t="str">
        <x:f>IF(Weekly_View!$W107="","",Weekly_View!$G107)</x:f>
      </x:c>
      <x:c r="H107" s="16" t="str">
        <x:f>IF(Weekly_View!$W107="","",Weekly_View!$H107)</x:f>
      </x:c>
      <x:c r="I107" s="19" t="str">
        <x:f>IF(Weekly_View!$W107="","",Weekly_View!$K107)</x:f>
      </x:c>
      <x:c r="J107" s="19" t="str">
        <x:f>IF(Weekly_View!$W107="","",Weekly_View!$L107)</x:f>
      </x:c>
      <x:c r="K107" s="19" t="str">
        <x:f>IF(Weekly_View!$W107="","",SUM(Weekly_View!$M107,Weekly_View!$O107,Weekly_View!$Q107,Weekly_View!$S107,Weekly_View!$U107))</x:f>
      </x:c>
      <x:c r="L107" s="19" t="str">
        <x:f>IF(Weekly_View!$W107="","",IFERROR(AVERAGE(Weekly_View!$N107,Weekly_View!$P107,Weekly_View!$R107,Weekly_View!$T107,Weekly_View!$V107),""))</x:f>
      </x:c>
      <x:c r="M107" s="16" t="str">
        <x:f>IF(Weekly_View!$W107="","",Weekly_View!$W107)</x:f>
      </x:c>
      <x:c r="N107" s="16" t="str">
        <x:f>IF(Weekly_View!$W107="","",Weekly_View!$X107)</x:f>
      </x:c>
    </x:row>
    <x:row r="108">
      <x:c r="A108" s="37" t="str">
        <x:f>IF(Weekly_View!$W108="","",Weekly_View!$C108)</x:f>
      </x:c>
      <x:c r="B108" s="16" t="str">
        <x:f>IF(Weekly_View!$W108="","",Weekly_View!$A108)</x:f>
      </x:c>
      <x:c r="C108" s="16" t="str">
        <x:f>IF(Weekly_View!$W108="","",Weekly_View!$B108)</x:f>
      </x:c>
      <x:c r="D108" s="16" t="str">
        <x:f>IF(Weekly_View!$W108="","",Weekly_View!$D108)</x:f>
      </x:c>
      <x:c r="E108" s="16" t="str">
        <x:f>IF(Weekly_View!$W108="","",Weekly_View!$E108)</x:f>
      </x:c>
      <x:c r="F108" s="16" t="str">
        <x:f>IF(Weekly_View!$W108="","",Weekly_View!$F108)</x:f>
      </x:c>
      <x:c r="G108" s="16" t="str">
        <x:f>IF(Weekly_View!$W108="","",Weekly_View!$G108)</x:f>
      </x:c>
      <x:c r="H108" s="16" t="str">
        <x:f>IF(Weekly_View!$W108="","",Weekly_View!$H108)</x:f>
      </x:c>
      <x:c r="I108" s="19" t="str">
        <x:f>IF(Weekly_View!$W108="","",Weekly_View!$K108)</x:f>
      </x:c>
      <x:c r="J108" s="19" t="str">
        <x:f>IF(Weekly_View!$W108="","",Weekly_View!$L108)</x:f>
      </x:c>
      <x:c r="K108" s="19" t="str">
        <x:f>IF(Weekly_View!$W108="","",SUM(Weekly_View!$M108,Weekly_View!$O108,Weekly_View!$Q108,Weekly_View!$S108,Weekly_View!$U108))</x:f>
      </x:c>
      <x:c r="L108" s="19" t="str">
        <x:f>IF(Weekly_View!$W108="","",IFERROR(AVERAGE(Weekly_View!$N108,Weekly_View!$P108,Weekly_View!$R108,Weekly_View!$T108,Weekly_View!$V108),""))</x:f>
      </x:c>
      <x:c r="M108" s="16" t="str">
        <x:f>IF(Weekly_View!$W108="","",Weekly_View!$W108)</x:f>
      </x:c>
      <x:c r="N108" s="16" t="str">
        <x:f>IF(Weekly_View!$W108="","",Weekly_View!$X108)</x:f>
      </x:c>
    </x:row>
    <x:row r="109">
      <x:c r="A109" s="37" t="str">
        <x:f>IF(Weekly_View!$W109="","",Weekly_View!$C109)</x:f>
      </x:c>
      <x:c r="B109" s="16" t="str">
        <x:f>IF(Weekly_View!$W109="","",Weekly_View!$A109)</x:f>
      </x:c>
      <x:c r="C109" s="16" t="str">
        <x:f>IF(Weekly_View!$W109="","",Weekly_View!$B109)</x:f>
      </x:c>
      <x:c r="D109" s="16" t="str">
        <x:f>IF(Weekly_View!$W109="","",Weekly_View!$D109)</x:f>
      </x:c>
      <x:c r="E109" s="16" t="str">
        <x:f>IF(Weekly_View!$W109="","",Weekly_View!$E109)</x:f>
      </x:c>
      <x:c r="F109" s="16" t="str">
        <x:f>IF(Weekly_View!$W109="","",Weekly_View!$F109)</x:f>
      </x:c>
      <x:c r="G109" s="16" t="str">
        <x:f>IF(Weekly_View!$W109="","",Weekly_View!$G109)</x:f>
      </x:c>
      <x:c r="H109" s="16" t="str">
        <x:f>IF(Weekly_View!$W109="","",Weekly_View!$H109)</x:f>
      </x:c>
      <x:c r="I109" s="19" t="str">
        <x:f>IF(Weekly_View!$W109="","",Weekly_View!$K109)</x:f>
      </x:c>
      <x:c r="J109" s="19" t="str">
        <x:f>IF(Weekly_View!$W109="","",Weekly_View!$L109)</x:f>
      </x:c>
      <x:c r="K109" s="19" t="str">
        <x:f>IF(Weekly_View!$W109="","",SUM(Weekly_View!$M109,Weekly_View!$O109,Weekly_View!$Q109,Weekly_View!$S109,Weekly_View!$U109))</x:f>
      </x:c>
      <x:c r="L109" s="19" t="str">
        <x:f>IF(Weekly_View!$W109="","",IFERROR(AVERAGE(Weekly_View!$N109,Weekly_View!$P109,Weekly_View!$R109,Weekly_View!$T109,Weekly_View!$V109),""))</x:f>
      </x:c>
      <x:c r="M109" s="16" t="str">
        <x:f>IF(Weekly_View!$W109="","",Weekly_View!$W109)</x:f>
      </x:c>
      <x:c r="N109" s="16" t="str">
        <x:f>IF(Weekly_View!$W109="","",Weekly_View!$X109)</x:f>
      </x:c>
    </x:row>
    <x:row r="110">
      <x:c r="A110" s="37" t="str">
        <x:f>IF(Weekly_View!$W110="","",Weekly_View!$C110)</x:f>
      </x:c>
      <x:c r="B110" s="16" t="str">
        <x:f>IF(Weekly_View!$W110="","",Weekly_View!$A110)</x:f>
      </x:c>
      <x:c r="C110" s="16" t="str">
        <x:f>IF(Weekly_View!$W110="","",Weekly_View!$B110)</x:f>
      </x:c>
      <x:c r="D110" s="16" t="str">
        <x:f>IF(Weekly_View!$W110="","",Weekly_View!$D110)</x:f>
      </x:c>
      <x:c r="E110" s="16" t="str">
        <x:f>IF(Weekly_View!$W110="","",Weekly_View!$E110)</x:f>
      </x:c>
      <x:c r="F110" s="16" t="str">
        <x:f>IF(Weekly_View!$W110="","",Weekly_View!$F110)</x:f>
      </x:c>
      <x:c r="G110" s="16" t="str">
        <x:f>IF(Weekly_View!$W110="","",Weekly_View!$G110)</x:f>
      </x:c>
      <x:c r="H110" s="16" t="str">
        <x:f>IF(Weekly_View!$W110="","",Weekly_View!$H110)</x:f>
      </x:c>
      <x:c r="I110" s="19" t="str">
        <x:f>IF(Weekly_View!$W110="","",Weekly_View!$K110)</x:f>
      </x:c>
      <x:c r="J110" s="19" t="str">
        <x:f>IF(Weekly_View!$W110="","",Weekly_View!$L110)</x:f>
      </x:c>
      <x:c r="K110" s="19" t="str">
        <x:f>IF(Weekly_View!$W110="","",SUM(Weekly_View!$M110,Weekly_View!$O110,Weekly_View!$Q110,Weekly_View!$S110,Weekly_View!$U110))</x:f>
      </x:c>
      <x:c r="L110" s="19" t="str">
        <x:f>IF(Weekly_View!$W110="","",IFERROR(AVERAGE(Weekly_View!$N110,Weekly_View!$P110,Weekly_View!$R110,Weekly_View!$T110,Weekly_View!$V110),""))</x:f>
      </x:c>
      <x:c r="M110" s="16" t="str">
        <x:f>IF(Weekly_View!$W110="","",Weekly_View!$W110)</x:f>
      </x:c>
      <x:c r="N110" s="16" t="str">
        <x:f>IF(Weekly_View!$W110="","",Weekly_View!$X110)</x:f>
      </x:c>
    </x:row>
    <x:row r="111">
      <x:c r="A111" s="37" t="str">
        <x:f>IF(Weekly_View!$W111="","",Weekly_View!$C111)</x:f>
      </x:c>
      <x:c r="B111" s="16" t="str">
        <x:f>IF(Weekly_View!$W111="","",Weekly_View!$A111)</x:f>
      </x:c>
      <x:c r="C111" s="16" t="str">
        <x:f>IF(Weekly_View!$W111="","",Weekly_View!$B111)</x:f>
      </x:c>
      <x:c r="D111" s="16" t="str">
        <x:f>IF(Weekly_View!$W111="","",Weekly_View!$D111)</x:f>
      </x:c>
      <x:c r="E111" s="16" t="str">
        <x:f>IF(Weekly_View!$W111="","",Weekly_View!$E111)</x:f>
      </x:c>
      <x:c r="F111" s="16" t="str">
        <x:f>IF(Weekly_View!$W111="","",Weekly_View!$F111)</x:f>
      </x:c>
      <x:c r="G111" s="16" t="str">
        <x:f>IF(Weekly_View!$W111="","",Weekly_View!$G111)</x:f>
      </x:c>
      <x:c r="H111" s="16" t="str">
        <x:f>IF(Weekly_View!$W111="","",Weekly_View!$H111)</x:f>
      </x:c>
      <x:c r="I111" s="19" t="str">
        <x:f>IF(Weekly_View!$W111="","",Weekly_View!$K111)</x:f>
      </x:c>
      <x:c r="J111" s="19" t="str">
        <x:f>IF(Weekly_View!$W111="","",Weekly_View!$L111)</x:f>
      </x:c>
      <x:c r="K111" s="19" t="str">
        <x:f>IF(Weekly_View!$W111="","",SUM(Weekly_View!$M111,Weekly_View!$O111,Weekly_View!$Q111,Weekly_View!$S111,Weekly_View!$U111))</x:f>
      </x:c>
      <x:c r="L111" s="19" t="str">
        <x:f>IF(Weekly_View!$W111="","",IFERROR(AVERAGE(Weekly_View!$N111,Weekly_View!$P111,Weekly_View!$R111,Weekly_View!$T111,Weekly_View!$V111),""))</x:f>
      </x:c>
      <x:c r="M111" s="16" t="str">
        <x:f>IF(Weekly_View!$W111="","",Weekly_View!$W111)</x:f>
      </x:c>
      <x:c r="N111" s="16" t="str">
        <x:f>IF(Weekly_View!$W111="","",Weekly_View!$X111)</x:f>
      </x:c>
    </x:row>
    <x:row r="112">
      <x:c r="A112" s="37" t="str">
        <x:f>IF(Weekly_View!$W112="","",Weekly_View!$C112)</x:f>
      </x:c>
      <x:c r="B112" s="16" t="str">
        <x:f>IF(Weekly_View!$W112="","",Weekly_View!$A112)</x:f>
      </x:c>
      <x:c r="C112" s="16" t="str">
        <x:f>IF(Weekly_View!$W112="","",Weekly_View!$B112)</x:f>
      </x:c>
      <x:c r="D112" s="16" t="str">
        <x:f>IF(Weekly_View!$W112="","",Weekly_View!$D112)</x:f>
      </x:c>
      <x:c r="E112" s="16" t="str">
        <x:f>IF(Weekly_View!$W112="","",Weekly_View!$E112)</x:f>
      </x:c>
      <x:c r="F112" s="16" t="str">
        <x:f>IF(Weekly_View!$W112="","",Weekly_View!$F112)</x:f>
      </x:c>
      <x:c r="G112" s="16" t="str">
        <x:f>IF(Weekly_View!$W112="","",Weekly_View!$G112)</x:f>
      </x:c>
      <x:c r="H112" s="16" t="str">
        <x:f>IF(Weekly_View!$W112="","",Weekly_View!$H112)</x:f>
      </x:c>
      <x:c r="I112" s="19" t="str">
        <x:f>IF(Weekly_View!$W112="","",Weekly_View!$K112)</x:f>
      </x:c>
      <x:c r="J112" s="19" t="str">
        <x:f>IF(Weekly_View!$W112="","",Weekly_View!$L112)</x:f>
      </x:c>
      <x:c r="K112" s="19" t="str">
        <x:f>IF(Weekly_View!$W112="","",SUM(Weekly_View!$M112,Weekly_View!$O112,Weekly_View!$Q112,Weekly_View!$S112,Weekly_View!$U112))</x:f>
      </x:c>
      <x:c r="L112" s="19" t="str">
        <x:f>IF(Weekly_View!$W112="","",IFERROR(AVERAGE(Weekly_View!$N112,Weekly_View!$P112,Weekly_View!$R112,Weekly_View!$T112,Weekly_View!$V112),""))</x:f>
      </x:c>
      <x:c r="M112" s="16" t="str">
        <x:f>IF(Weekly_View!$W112="","",Weekly_View!$W112)</x:f>
      </x:c>
      <x:c r="N112" s="16" t="str">
        <x:f>IF(Weekly_View!$W112="","",Weekly_View!$X112)</x:f>
      </x:c>
    </x:row>
    <x:row r="113">
      <x:c r="A113" s="37" t="str">
        <x:f>IF(Weekly_View!$W113="","",Weekly_View!$C113)</x:f>
      </x:c>
      <x:c r="B113" s="16" t="str">
        <x:f>IF(Weekly_View!$W113="","",Weekly_View!$A113)</x:f>
      </x:c>
      <x:c r="C113" s="16" t="str">
        <x:f>IF(Weekly_View!$W113="","",Weekly_View!$B113)</x:f>
      </x:c>
      <x:c r="D113" s="16" t="str">
        <x:f>IF(Weekly_View!$W113="","",Weekly_View!$D113)</x:f>
      </x:c>
      <x:c r="E113" s="16" t="str">
        <x:f>IF(Weekly_View!$W113="","",Weekly_View!$E113)</x:f>
      </x:c>
      <x:c r="F113" s="16" t="str">
        <x:f>IF(Weekly_View!$W113="","",Weekly_View!$F113)</x:f>
      </x:c>
      <x:c r="G113" s="16" t="str">
        <x:f>IF(Weekly_View!$W113="","",Weekly_View!$G113)</x:f>
      </x:c>
      <x:c r="H113" s="16" t="str">
        <x:f>IF(Weekly_View!$W113="","",Weekly_View!$H113)</x:f>
      </x:c>
      <x:c r="I113" s="19" t="str">
        <x:f>IF(Weekly_View!$W113="","",Weekly_View!$K113)</x:f>
      </x:c>
      <x:c r="J113" s="19" t="str">
        <x:f>IF(Weekly_View!$W113="","",Weekly_View!$L113)</x:f>
      </x:c>
      <x:c r="K113" s="19" t="str">
        <x:f>IF(Weekly_View!$W113="","",SUM(Weekly_View!$M113,Weekly_View!$O113,Weekly_View!$Q113,Weekly_View!$S113,Weekly_View!$U113))</x:f>
      </x:c>
      <x:c r="L113" s="19" t="str">
        <x:f>IF(Weekly_View!$W113="","",IFERROR(AVERAGE(Weekly_View!$N113,Weekly_View!$P113,Weekly_View!$R113,Weekly_View!$T113,Weekly_View!$V113),""))</x:f>
      </x:c>
      <x:c r="M113" s="16" t="str">
        <x:f>IF(Weekly_View!$W113="","",Weekly_View!$W113)</x:f>
      </x:c>
      <x:c r="N113" s="16" t="str">
        <x:f>IF(Weekly_View!$W113="","",Weekly_View!$X113)</x:f>
      </x:c>
    </x:row>
    <x:row r="114">
      <x:c r="A114" s="37" t="str">
        <x:f>IF(Weekly_View!$W114="","",Weekly_View!$C114)</x:f>
      </x:c>
      <x:c r="B114" s="16" t="str">
        <x:f>IF(Weekly_View!$W114="","",Weekly_View!$A114)</x:f>
      </x:c>
      <x:c r="C114" s="16" t="str">
        <x:f>IF(Weekly_View!$W114="","",Weekly_View!$B114)</x:f>
      </x:c>
      <x:c r="D114" s="16" t="str">
        <x:f>IF(Weekly_View!$W114="","",Weekly_View!$D114)</x:f>
      </x:c>
      <x:c r="E114" s="16" t="str">
        <x:f>IF(Weekly_View!$W114="","",Weekly_View!$E114)</x:f>
      </x:c>
      <x:c r="F114" s="16" t="str">
        <x:f>IF(Weekly_View!$W114="","",Weekly_View!$F114)</x:f>
      </x:c>
      <x:c r="G114" s="16" t="str">
        <x:f>IF(Weekly_View!$W114="","",Weekly_View!$G114)</x:f>
      </x:c>
      <x:c r="H114" s="16" t="str">
        <x:f>IF(Weekly_View!$W114="","",Weekly_View!$H114)</x:f>
      </x:c>
      <x:c r="I114" s="19" t="str">
        <x:f>IF(Weekly_View!$W114="","",Weekly_View!$K114)</x:f>
      </x:c>
      <x:c r="J114" s="19" t="str">
        <x:f>IF(Weekly_View!$W114="","",Weekly_View!$L114)</x:f>
      </x:c>
      <x:c r="K114" s="19" t="str">
        <x:f>IF(Weekly_View!$W114="","",SUM(Weekly_View!$M114,Weekly_View!$O114,Weekly_View!$Q114,Weekly_View!$S114,Weekly_View!$U114))</x:f>
      </x:c>
      <x:c r="L114" s="19" t="str">
        <x:f>IF(Weekly_View!$W114="","",IFERROR(AVERAGE(Weekly_View!$N114,Weekly_View!$P114,Weekly_View!$R114,Weekly_View!$T114,Weekly_View!$V114),""))</x:f>
      </x:c>
      <x:c r="M114" s="16" t="str">
        <x:f>IF(Weekly_View!$W114="","",Weekly_View!$W114)</x:f>
      </x:c>
      <x:c r="N114" s="16" t="str">
        <x:f>IF(Weekly_View!$W114="","",Weekly_View!$X114)</x:f>
      </x:c>
    </x:row>
    <x:row r="115">
      <x:c r="A115" s="37" t="str">
        <x:f>IF(Weekly_View!$W115="","",Weekly_View!$C115)</x:f>
      </x:c>
      <x:c r="B115" s="16" t="str">
        <x:f>IF(Weekly_View!$W115="","",Weekly_View!$A115)</x:f>
      </x:c>
      <x:c r="C115" s="16" t="str">
        <x:f>IF(Weekly_View!$W115="","",Weekly_View!$B115)</x:f>
      </x:c>
      <x:c r="D115" s="16" t="str">
        <x:f>IF(Weekly_View!$W115="","",Weekly_View!$D115)</x:f>
      </x:c>
      <x:c r="E115" s="16" t="str">
        <x:f>IF(Weekly_View!$W115="","",Weekly_View!$E115)</x:f>
      </x:c>
      <x:c r="F115" s="16" t="str">
        <x:f>IF(Weekly_View!$W115="","",Weekly_View!$F115)</x:f>
      </x:c>
      <x:c r="G115" s="16" t="str">
        <x:f>IF(Weekly_View!$W115="","",Weekly_View!$G115)</x:f>
      </x:c>
      <x:c r="H115" s="16" t="str">
        <x:f>IF(Weekly_View!$W115="","",Weekly_View!$H115)</x:f>
      </x:c>
      <x:c r="I115" s="19" t="str">
        <x:f>IF(Weekly_View!$W115="","",Weekly_View!$K115)</x:f>
      </x:c>
      <x:c r="J115" s="19" t="str">
        <x:f>IF(Weekly_View!$W115="","",Weekly_View!$L115)</x:f>
      </x:c>
      <x:c r="K115" s="19" t="str">
        <x:f>IF(Weekly_View!$W115="","",SUM(Weekly_View!$M115,Weekly_View!$O115,Weekly_View!$Q115,Weekly_View!$S115,Weekly_View!$U115))</x:f>
      </x:c>
      <x:c r="L115" s="19" t="str">
        <x:f>IF(Weekly_View!$W115="","",IFERROR(AVERAGE(Weekly_View!$N115,Weekly_View!$P115,Weekly_View!$R115,Weekly_View!$T115,Weekly_View!$V115),""))</x:f>
      </x:c>
      <x:c r="M115" s="16" t="str">
        <x:f>IF(Weekly_View!$W115="","",Weekly_View!$W115)</x:f>
      </x:c>
      <x:c r="N115" s="16" t="str">
        <x:f>IF(Weekly_View!$W115="","",Weekly_View!$X115)</x:f>
      </x:c>
    </x:row>
    <x:row r="116">
      <x:c r="A116" s="37" t="str">
        <x:f>IF(Weekly_View!$W116="","",Weekly_View!$C116)</x:f>
      </x:c>
      <x:c r="B116" s="16" t="str">
        <x:f>IF(Weekly_View!$W116="","",Weekly_View!$A116)</x:f>
      </x:c>
      <x:c r="C116" s="16" t="str">
        <x:f>IF(Weekly_View!$W116="","",Weekly_View!$B116)</x:f>
      </x:c>
      <x:c r="D116" s="16" t="str">
        <x:f>IF(Weekly_View!$W116="","",Weekly_View!$D116)</x:f>
      </x:c>
      <x:c r="E116" s="16" t="str">
        <x:f>IF(Weekly_View!$W116="","",Weekly_View!$E116)</x:f>
      </x:c>
      <x:c r="F116" s="16" t="str">
        <x:f>IF(Weekly_View!$W116="","",Weekly_View!$F116)</x:f>
      </x:c>
      <x:c r="G116" s="16" t="str">
        <x:f>IF(Weekly_View!$W116="","",Weekly_View!$G116)</x:f>
      </x:c>
      <x:c r="H116" s="16" t="str">
        <x:f>IF(Weekly_View!$W116="","",Weekly_View!$H116)</x:f>
      </x:c>
      <x:c r="I116" s="19" t="str">
        <x:f>IF(Weekly_View!$W116="","",Weekly_View!$K116)</x:f>
      </x:c>
      <x:c r="J116" s="19" t="str">
        <x:f>IF(Weekly_View!$W116="","",Weekly_View!$L116)</x:f>
      </x:c>
      <x:c r="K116" s="19" t="str">
        <x:f>IF(Weekly_View!$W116="","",SUM(Weekly_View!$M116,Weekly_View!$O116,Weekly_View!$Q116,Weekly_View!$S116,Weekly_View!$U116))</x:f>
      </x:c>
      <x:c r="L116" s="19" t="str">
        <x:f>IF(Weekly_View!$W116="","",IFERROR(AVERAGE(Weekly_View!$N116,Weekly_View!$P116,Weekly_View!$R116,Weekly_View!$T116,Weekly_View!$V116),""))</x:f>
      </x:c>
      <x:c r="M116" s="16" t="str">
        <x:f>IF(Weekly_View!$W116="","",Weekly_View!$W116)</x:f>
      </x:c>
      <x:c r="N116" s="16" t="str">
        <x:f>IF(Weekly_View!$W116="","",Weekly_View!$X116)</x:f>
      </x:c>
    </x:row>
    <x:row r="117">
      <x:c r="A117" s="37" t="str">
        <x:f>IF(Weekly_View!$W117="","",Weekly_View!$C117)</x:f>
      </x:c>
      <x:c r="B117" s="16" t="str">
        <x:f>IF(Weekly_View!$W117="","",Weekly_View!$A117)</x:f>
      </x:c>
      <x:c r="C117" s="16" t="str">
        <x:f>IF(Weekly_View!$W117="","",Weekly_View!$B117)</x:f>
      </x:c>
      <x:c r="D117" s="16" t="str">
        <x:f>IF(Weekly_View!$W117="","",Weekly_View!$D117)</x:f>
      </x:c>
      <x:c r="E117" s="16" t="str">
        <x:f>IF(Weekly_View!$W117="","",Weekly_View!$E117)</x:f>
      </x:c>
      <x:c r="F117" s="16" t="str">
        <x:f>IF(Weekly_View!$W117="","",Weekly_View!$F117)</x:f>
      </x:c>
      <x:c r="G117" s="16" t="str">
        <x:f>IF(Weekly_View!$W117="","",Weekly_View!$G117)</x:f>
      </x:c>
      <x:c r="H117" s="16" t="str">
        <x:f>IF(Weekly_View!$W117="","",Weekly_View!$H117)</x:f>
      </x:c>
      <x:c r="I117" s="19" t="str">
        <x:f>IF(Weekly_View!$W117="","",Weekly_View!$K117)</x:f>
      </x:c>
      <x:c r="J117" s="19" t="str">
        <x:f>IF(Weekly_View!$W117="","",Weekly_View!$L117)</x:f>
      </x:c>
      <x:c r="K117" s="19" t="str">
        <x:f>IF(Weekly_View!$W117="","",SUM(Weekly_View!$M117,Weekly_View!$O117,Weekly_View!$Q117,Weekly_View!$S117,Weekly_View!$U117))</x:f>
      </x:c>
      <x:c r="L117" s="19" t="str">
        <x:f>IF(Weekly_View!$W117="","",IFERROR(AVERAGE(Weekly_View!$N117,Weekly_View!$P117,Weekly_View!$R117,Weekly_View!$T117,Weekly_View!$V117),""))</x:f>
      </x:c>
      <x:c r="M117" s="16" t="str">
        <x:f>IF(Weekly_View!$W117="","",Weekly_View!$W117)</x:f>
      </x:c>
      <x:c r="N117" s="16" t="str">
        <x:f>IF(Weekly_View!$W117="","",Weekly_View!$X117)</x:f>
      </x:c>
    </x:row>
    <x:row r="118">
      <x:c r="A118" s="37" t="str">
        <x:f>IF(Weekly_View!$W118="","",Weekly_View!$C118)</x:f>
      </x:c>
      <x:c r="B118" s="16" t="str">
        <x:f>IF(Weekly_View!$W118="","",Weekly_View!$A118)</x:f>
      </x:c>
      <x:c r="C118" s="16" t="str">
        <x:f>IF(Weekly_View!$W118="","",Weekly_View!$B118)</x:f>
      </x:c>
      <x:c r="D118" s="16" t="str">
        <x:f>IF(Weekly_View!$W118="","",Weekly_View!$D118)</x:f>
      </x:c>
      <x:c r="E118" s="16" t="str">
        <x:f>IF(Weekly_View!$W118="","",Weekly_View!$E118)</x:f>
      </x:c>
      <x:c r="F118" s="16" t="str">
        <x:f>IF(Weekly_View!$W118="","",Weekly_View!$F118)</x:f>
      </x:c>
      <x:c r="G118" s="16" t="str">
        <x:f>IF(Weekly_View!$W118="","",Weekly_View!$G118)</x:f>
      </x:c>
      <x:c r="H118" s="16" t="str">
        <x:f>IF(Weekly_View!$W118="","",Weekly_View!$H118)</x:f>
      </x:c>
      <x:c r="I118" s="19" t="str">
        <x:f>IF(Weekly_View!$W118="","",Weekly_View!$K118)</x:f>
      </x:c>
      <x:c r="J118" s="19" t="str">
        <x:f>IF(Weekly_View!$W118="","",Weekly_View!$L118)</x:f>
      </x:c>
      <x:c r="K118" s="19" t="str">
        <x:f>IF(Weekly_View!$W118="","",SUM(Weekly_View!$M118,Weekly_View!$O118,Weekly_View!$Q118,Weekly_View!$S118,Weekly_View!$U118))</x:f>
      </x:c>
      <x:c r="L118" s="19" t="str">
        <x:f>IF(Weekly_View!$W118="","",IFERROR(AVERAGE(Weekly_View!$N118,Weekly_View!$P118,Weekly_View!$R118,Weekly_View!$T118,Weekly_View!$V118),""))</x:f>
      </x:c>
      <x:c r="M118" s="16" t="str">
        <x:f>IF(Weekly_View!$W118="","",Weekly_View!$W118)</x:f>
      </x:c>
      <x:c r="N118" s="16" t="str">
        <x:f>IF(Weekly_View!$W118="","",Weekly_View!$X118)</x:f>
      </x:c>
    </x:row>
    <x:row r="119">
      <x:c r="A119" s="37" t="str">
        <x:f>IF(Weekly_View!$W119="","",Weekly_View!$C119)</x:f>
      </x:c>
      <x:c r="B119" s="16" t="str">
        <x:f>IF(Weekly_View!$W119="","",Weekly_View!$A119)</x:f>
      </x:c>
      <x:c r="C119" s="16" t="str">
        <x:f>IF(Weekly_View!$W119="","",Weekly_View!$B119)</x:f>
      </x:c>
      <x:c r="D119" s="16" t="str">
        <x:f>IF(Weekly_View!$W119="","",Weekly_View!$D119)</x:f>
      </x:c>
      <x:c r="E119" s="16" t="str">
        <x:f>IF(Weekly_View!$W119="","",Weekly_View!$E119)</x:f>
      </x:c>
      <x:c r="F119" s="16" t="str">
        <x:f>IF(Weekly_View!$W119="","",Weekly_View!$F119)</x:f>
      </x:c>
      <x:c r="G119" s="16" t="str">
        <x:f>IF(Weekly_View!$W119="","",Weekly_View!$G119)</x:f>
      </x:c>
      <x:c r="H119" s="16" t="str">
        <x:f>IF(Weekly_View!$W119="","",Weekly_View!$H119)</x:f>
      </x:c>
      <x:c r="I119" s="19" t="str">
        <x:f>IF(Weekly_View!$W119="","",Weekly_View!$K119)</x:f>
      </x:c>
      <x:c r="J119" s="19" t="str">
        <x:f>IF(Weekly_View!$W119="","",Weekly_View!$L119)</x:f>
      </x:c>
      <x:c r="K119" s="19" t="str">
        <x:f>IF(Weekly_View!$W119="","",SUM(Weekly_View!$M119,Weekly_View!$O119,Weekly_View!$Q119,Weekly_View!$S119,Weekly_View!$U119))</x:f>
      </x:c>
      <x:c r="L119" s="19" t="str">
        <x:f>IF(Weekly_View!$W119="","",IFERROR(AVERAGE(Weekly_View!$N119,Weekly_View!$P119,Weekly_View!$R119,Weekly_View!$T119,Weekly_View!$V119),""))</x:f>
      </x:c>
      <x:c r="M119" s="16" t="str">
        <x:f>IF(Weekly_View!$W119="","",Weekly_View!$W119)</x:f>
      </x:c>
      <x:c r="N119" s="16" t="str">
        <x:f>IF(Weekly_View!$W119="","",Weekly_View!$X119)</x:f>
      </x:c>
    </x:row>
    <x:row r="120">
      <x:c r="A120" s="37" t="str">
        <x:f>IF(Weekly_View!$W120="","",Weekly_View!$C120)</x:f>
      </x:c>
      <x:c r="B120" s="16" t="str">
        <x:f>IF(Weekly_View!$W120="","",Weekly_View!$A120)</x:f>
      </x:c>
      <x:c r="C120" s="16" t="str">
        <x:f>IF(Weekly_View!$W120="","",Weekly_View!$B120)</x:f>
      </x:c>
      <x:c r="D120" s="16" t="str">
        <x:f>IF(Weekly_View!$W120="","",Weekly_View!$D120)</x:f>
      </x:c>
      <x:c r="E120" s="16" t="str">
        <x:f>IF(Weekly_View!$W120="","",Weekly_View!$E120)</x:f>
      </x:c>
      <x:c r="F120" s="16" t="str">
        <x:f>IF(Weekly_View!$W120="","",Weekly_View!$F120)</x:f>
      </x:c>
      <x:c r="G120" s="16" t="str">
        <x:f>IF(Weekly_View!$W120="","",Weekly_View!$G120)</x:f>
      </x:c>
      <x:c r="H120" s="16" t="str">
        <x:f>IF(Weekly_View!$W120="","",Weekly_View!$H120)</x:f>
      </x:c>
      <x:c r="I120" s="19" t="str">
        <x:f>IF(Weekly_View!$W120="","",Weekly_View!$K120)</x:f>
      </x:c>
      <x:c r="J120" s="19" t="str">
        <x:f>IF(Weekly_View!$W120="","",Weekly_View!$L120)</x:f>
      </x:c>
      <x:c r="K120" s="19" t="str">
        <x:f>IF(Weekly_View!$W120="","",SUM(Weekly_View!$M120,Weekly_View!$O120,Weekly_View!$Q120,Weekly_View!$S120,Weekly_View!$U120))</x:f>
      </x:c>
      <x:c r="L120" s="19" t="str">
        <x:f>IF(Weekly_View!$W120="","",IFERROR(AVERAGE(Weekly_View!$N120,Weekly_View!$P120,Weekly_View!$R120,Weekly_View!$T120,Weekly_View!$V120),""))</x:f>
      </x:c>
      <x:c r="M120" s="16" t="str">
        <x:f>IF(Weekly_View!$W120="","",Weekly_View!$W120)</x:f>
      </x:c>
      <x:c r="N120" s="16" t="str">
        <x:f>IF(Weekly_View!$W120="","",Weekly_View!$X120)</x:f>
      </x:c>
    </x:row>
    <x:row r="121">
      <x:c r="A121" s="37" t="str">
        <x:f>IF(Weekly_View!$W121="","",Weekly_View!$C121)</x:f>
      </x:c>
      <x:c r="B121" s="16" t="str">
        <x:f>IF(Weekly_View!$W121="","",Weekly_View!$A121)</x:f>
      </x:c>
      <x:c r="C121" s="16" t="str">
        <x:f>IF(Weekly_View!$W121="","",Weekly_View!$B121)</x:f>
      </x:c>
      <x:c r="D121" s="16" t="str">
        <x:f>IF(Weekly_View!$W121="","",Weekly_View!$D121)</x:f>
      </x:c>
      <x:c r="E121" s="16" t="str">
        <x:f>IF(Weekly_View!$W121="","",Weekly_View!$E121)</x:f>
      </x:c>
      <x:c r="F121" s="16" t="str">
        <x:f>IF(Weekly_View!$W121="","",Weekly_View!$F121)</x:f>
      </x:c>
      <x:c r="G121" s="16" t="str">
        <x:f>IF(Weekly_View!$W121="","",Weekly_View!$G121)</x:f>
      </x:c>
      <x:c r="H121" s="16" t="str">
        <x:f>IF(Weekly_View!$W121="","",Weekly_View!$H121)</x:f>
      </x:c>
      <x:c r="I121" s="19" t="str">
        <x:f>IF(Weekly_View!$W121="","",Weekly_View!$K121)</x:f>
      </x:c>
      <x:c r="J121" s="19" t="str">
        <x:f>IF(Weekly_View!$W121="","",Weekly_View!$L121)</x:f>
      </x:c>
      <x:c r="K121" s="19" t="str">
        <x:f>IF(Weekly_View!$W121="","",SUM(Weekly_View!$M121,Weekly_View!$O121,Weekly_View!$Q121,Weekly_View!$S121,Weekly_View!$U121))</x:f>
      </x:c>
      <x:c r="L121" s="19" t="str">
        <x:f>IF(Weekly_View!$W121="","",IFERROR(AVERAGE(Weekly_View!$N121,Weekly_View!$P121,Weekly_View!$R121,Weekly_View!$T121,Weekly_View!$V121),""))</x:f>
      </x:c>
      <x:c r="M121" s="16" t="str">
        <x:f>IF(Weekly_View!$W121="","",Weekly_View!$W121)</x:f>
      </x:c>
      <x:c r="N121" s="16" t="str">
        <x:f>IF(Weekly_View!$W121="","",Weekly_View!$X121)</x:f>
      </x:c>
    </x:row>
    <x:row r="122">
      <x:c r="A122" s="37" t="str">
        <x:f>IF(Weekly_View!$W122="","",Weekly_View!$C122)</x:f>
      </x:c>
      <x:c r="B122" s="16" t="str">
        <x:f>IF(Weekly_View!$W122="","",Weekly_View!$A122)</x:f>
      </x:c>
      <x:c r="C122" s="16" t="str">
        <x:f>IF(Weekly_View!$W122="","",Weekly_View!$B122)</x:f>
      </x:c>
      <x:c r="D122" s="16" t="str">
        <x:f>IF(Weekly_View!$W122="","",Weekly_View!$D122)</x:f>
      </x:c>
      <x:c r="E122" s="16" t="str">
        <x:f>IF(Weekly_View!$W122="","",Weekly_View!$E122)</x:f>
      </x:c>
      <x:c r="F122" s="16" t="str">
        <x:f>IF(Weekly_View!$W122="","",Weekly_View!$F122)</x:f>
      </x:c>
      <x:c r="G122" s="16" t="str">
        <x:f>IF(Weekly_View!$W122="","",Weekly_View!$G122)</x:f>
      </x:c>
      <x:c r="H122" s="16" t="str">
        <x:f>IF(Weekly_View!$W122="","",Weekly_View!$H122)</x:f>
      </x:c>
      <x:c r="I122" s="19" t="str">
        <x:f>IF(Weekly_View!$W122="","",Weekly_View!$K122)</x:f>
      </x:c>
      <x:c r="J122" s="19" t="str">
        <x:f>IF(Weekly_View!$W122="","",Weekly_View!$L122)</x:f>
      </x:c>
      <x:c r="K122" s="19" t="str">
        <x:f>IF(Weekly_View!$W122="","",SUM(Weekly_View!$M122,Weekly_View!$O122,Weekly_View!$Q122,Weekly_View!$S122,Weekly_View!$U122))</x:f>
      </x:c>
      <x:c r="L122" s="19" t="str">
        <x:f>IF(Weekly_View!$W122="","",IFERROR(AVERAGE(Weekly_View!$N122,Weekly_View!$P122,Weekly_View!$R122,Weekly_View!$T122,Weekly_View!$V122),""))</x:f>
      </x:c>
      <x:c r="M122" s="16" t="str">
        <x:f>IF(Weekly_View!$W122="","",Weekly_View!$W122)</x:f>
      </x:c>
      <x:c r="N122" s="16" t="str">
        <x:f>IF(Weekly_View!$W122="","",Weekly_View!$X122)</x:f>
      </x:c>
    </x:row>
  </x:sheetData>
  <x:mergeCells>
    <x:mergeCell ref="A1:N1"/>
    <x:mergeCell ref="A3:N3"/>
  </x:mergeCells>
  <x:pageMargins left="0.7" right="0.7" top="0.75" bottom="0.75" header="0.3" footer="0.3"/>
  <x:tableParts count="1">
    <x:tablePart xmlns:r="http://schemas.openxmlformats.org/officeDocument/2006/relationships" r:id="Rb370564f160649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8.130000114440918" hidden="0" customWidth="1"/>
    <x:col min="3" max="3" width="11.25" hidden="0" customWidth="1"/>
    <x:col min="4" max="4" width="8.130000114440918" hidden="0" customWidth="1"/>
    <x:col min="5" max="5" width="11.25" hidden="0" customWidth="1"/>
    <x:col min="6" max="6" width="11.25" hidden="0" customWidth="1"/>
    <x:col min="7" max="7" width="8.130000114440918" hidden="0" customWidth="1"/>
    <x:col min="8" max="8" width="8.75" hidden="0" customWidth="1"/>
    <x:col min="9" max="9" width="10.630000114440918" hidden="0" customWidth="1"/>
    <x:col min="10" max="10" width="8.130000114440918" hidden="0" customWidth="1"/>
    <x:col min="11" max="11" width="11.25" hidden="0" customWidth="1"/>
    <x:col min="12" max="12" width="37.5" hidden="0" customWidth="1"/>
  </x:cols>
  <x:sheetData>
    <x:row r="1" ht="25.5" customHeight="1">
      <x:c r="A1" s="3" t="str">
        <x:v>5/3/1 FSL Cycle Generator</x:v>
      </x:c>
      <x:c r="B1" s="3" t="str">
        <x:v>5/3/1 FSL Cycle Generator</x:v>
      </x:c>
      <x:c r="C1" s="3" t="str">
        <x:v>5/3/1 FSL Cycle Generator</x:v>
      </x:c>
      <x:c r="D1" s="3" t="str">
        <x:v>5/3/1 FSL Cycle Generator</x:v>
      </x:c>
      <x:c r="E1" s="3" t="str">
        <x:v>5/3/1 FSL Cycle Generator</x:v>
      </x:c>
      <x:c r="F1" s="3" t="str">
        <x:v>5/3/1 FSL Cycle Generator</x:v>
      </x:c>
      <x:c r="G1" s="3" t="str">
        <x:v>5/3/1 FSL Cycle Generator</x:v>
      </x:c>
      <x:c r="H1" s="3" t="str">
        <x:v>5/3/1 FSL Cycle Generator</x:v>
      </x:c>
      <x:c r="I1" s="3" t="str">
        <x:v>5/3/1 FSL Cycle Generator</x:v>
      </x:c>
      <x:c r="J1" s="3" t="str">
        <x:v>5/3/1 FSL Cycle Generator</x:v>
      </x:c>
      <x:c r="K1" s="3" t="str">
        <x:v>5/3/1 FSL Cycle Generator</x:v>
      </x:c>
      <x:c r="L1" s="3" t="str">
        <x:v>5/3/1 FSL Cycle Generator</x:v>
      </x:c>
    </x:row>
    <x:row r="4">
      <x:c r="A4" s="13" t="str">
        <x:v>Cycle</x:v>
      </x:c>
      <x:c r="B4" s="13" t="str">
        <x:v>Week</x:v>
      </x:c>
      <x:c r="C4" s="13" t="str">
        <x:v>Week Name</x:v>
      </x:c>
      <x:c r="D4" s="13" t="str">
        <x:v>Day</x:v>
      </x:c>
      <x:c r="E4" s="13" t="str">
        <x:v>Lift</x:v>
      </x:c>
      <x:c r="F4" s="13" t="str">
        <x:v>Set Type</x:v>
      </x:c>
      <x:c r="G4" s="13" t="str">
        <x:v>Set #</x:v>
      </x:c>
      <x:c r="H4" s="13" t="str">
        <x:v>% TM</x:v>
      </x:c>
      <x:c r="I4" s="13" t="str">
        <x:v>Target</x:v>
      </x:c>
      <x:c r="J4" s="13" t="str">
        <x:v>Sets</x:v>
      </x:c>
      <x:c r="K4" s="13" t="str">
        <x:v>Weight</x:v>
      </x:c>
      <x:c r="L4" s="13" t="str">
        <x:v>Notes</x:v>
      </x:c>
    </x:row>
    <x:row r="5">
      <x:c r="A5" s="16" t="n">
        <x:v>1</x:v>
      </x:c>
      <x:c r="B5" s="16" t="n">
        <x:v>1</x:v>
      </x:c>
      <x:c r="C5" s="16" t="str">
        <x:v>5s</x:v>
      </x:c>
      <x:c r="D5" s="16" t="str">
        <x:v>Mon</x:v>
      </x:c>
      <x:c r="E5" s="16" t="str">
        <x:v>Squat</x:v>
      </x:c>
      <x:c r="F5" s="16" t="str">
        <x:v>Main</x:v>
      </x:c>
      <x:c r="G5" s="16" t="n">
        <x:v>1</x:v>
      </x:c>
      <x:c r="H5" s="21" t="n">
        <x:v>0.65</x:v>
      </x:c>
      <x:c r="I5" s="16" t="str">
        <x:v>5</x:v>
      </x:c>
      <x:c r="J5" s="16" t="n">
        <x:v>1</x:v>
      </x:c>
      <x:c r="K5" s="19" t="n">
        <x:f>IF(H5="","",ROUND(INDEX(Setup!$G$11:$G$13,MATCH(E5,Setup!$A$11:$A$13,0))*H5/Setup!$B$4,0)*Setup!$B$4)</x:f>
        <x:v>67.5</x:v>
      </x:c>
      <x:c r="L5" s="16" t="str"/>
    </x:row>
    <x:row r="6">
      <x:c r="A6" s="16" t="n">
        <x:v>1</x:v>
      </x:c>
      <x:c r="B6" s="16" t="n">
        <x:v>1</x:v>
      </x:c>
      <x:c r="C6" s="16" t="str">
        <x:v>5s</x:v>
      </x:c>
      <x:c r="D6" s="16" t="str">
        <x:v>Mon</x:v>
      </x:c>
      <x:c r="E6" s="16" t="str">
        <x:v>Squat</x:v>
      </x:c>
      <x:c r="F6" s="16" t="str">
        <x:v>Main</x:v>
      </x:c>
      <x:c r="G6" s="16" t="n">
        <x:v>2</x:v>
      </x:c>
      <x:c r="H6" s="21" t="n">
        <x:v>0.75</x:v>
      </x:c>
      <x:c r="I6" s="16" t="str">
        <x:v>5</x:v>
      </x:c>
      <x:c r="J6" s="16" t="n">
        <x:v>1</x:v>
      </x:c>
      <x:c r="K6" s="19" t="n">
        <x:f>IF(H6="","",ROUND(INDEX(Setup!$G$11:$G$13,MATCH(E6,Setup!$A$11:$A$13,0))*H6/Setup!$B$4,0)*Setup!$B$4)</x:f>
        <x:v>77.5</x:v>
      </x:c>
      <x:c r="L6" s="16" t="str"/>
    </x:row>
    <x:row r="7">
      <x:c r="A7" s="16" t="n">
        <x:v>1</x:v>
      </x:c>
      <x:c r="B7" s="16" t="n">
        <x:v>1</x:v>
      </x:c>
      <x:c r="C7" s="16" t="str">
        <x:v>5s</x:v>
      </x:c>
      <x:c r="D7" s="16" t="str">
        <x:v>Mon</x:v>
      </x:c>
      <x:c r="E7" s="16" t="str">
        <x:v>Squat</x:v>
      </x:c>
      <x:c r="F7" s="16" t="str">
        <x:v>Main</x:v>
      </x:c>
      <x:c r="G7" s="16" t="n">
        <x:v>3</x:v>
      </x:c>
      <x:c r="H7" s="21" t="n">
        <x:v>0.85</x:v>
      </x:c>
      <x:c r="I7" s="16" t="str">
        <x:v>5+</x:v>
      </x:c>
      <x:c r="J7" s="16" t="n">
        <x:v>1</x:v>
      </x:c>
      <x:c r="K7" s="19" t="n">
        <x:f>IF(H7="","",ROUND(INDEX(Setup!$G$11:$G$13,MATCH(E7,Setup!$A$11:$A$13,0))*H7/Setup!$B$4,0)*Setup!$B$4)</x:f>
        <x:v>87.5</x:v>
      </x:c>
      <x:c r="L7" s="16" t="str">
        <x:v>Stop at RPE 8 / 2+ RIR. No grinding.</x:v>
      </x:c>
    </x:row>
    <x:row r="8">
      <x:c r="A8" s="16" t="n">
        <x:v>1</x:v>
      </x:c>
      <x:c r="B8" s="16" t="n">
        <x:v>1</x:v>
      </x:c>
      <x:c r="C8" s="16" t="str">
        <x:v>5s</x:v>
      </x:c>
      <x:c r="D8" s="16" t="str">
        <x:v>Mon</x:v>
      </x:c>
      <x:c r="E8" s="16" t="str">
        <x:v>Squat</x:v>
      </x:c>
      <x:c r="F8" s="16" t="str">
        <x:v>FSL</x:v>
      </x:c>
      <x:c r="G8" s="16" t="str"/>
      <x:c r="H8" s="21" t="n">
        <x:v>0.65</x:v>
      </x:c>
      <x:c r="I8" s="16" t="str">
        <x:v>5</x:v>
      </x:c>
      <x:c r="J8" s="16" t="n">
        <x:v>5</x:v>
      </x:c>
      <x:c r="K8" s="19" t="n">
        <x:f>IF(H8="","",ROUND(INDEX(Setup!$G$11:$G$13,MATCH(E8,Setup!$A$11:$A$13,0))*H8/Setup!$B$4,0)*Setup!$B$4)</x:f>
        <x:v>67.5</x:v>
      </x:c>
      <x:c r="L8" s="16" t="str">
        <x:v>Same weight every set; cut volume if bar speed slows.</x:v>
      </x:c>
    </x:row>
    <x:row r="9">
      <x:c r="A9" s="16" t="n">
        <x:v>1</x:v>
      </x:c>
      <x:c r="B9" s="16" t="n">
        <x:v>1</x:v>
      </x:c>
      <x:c r="C9" s="16" t="str">
        <x:v>5s</x:v>
      </x:c>
      <x:c r="D9" s="16" t="str">
        <x:v>Wed</x:v>
      </x:c>
      <x:c r="E9" s="16" t="str">
        <x:v>Bench</x:v>
      </x:c>
      <x:c r="F9" s="16" t="str">
        <x:v>Main</x:v>
      </x:c>
      <x:c r="G9" s="16" t="n">
        <x:v>1</x:v>
      </x:c>
      <x:c r="H9" s="21" t="n">
        <x:v>0.65</x:v>
      </x:c>
      <x:c r="I9" s="16" t="str">
        <x:v>5</x:v>
      </x:c>
      <x:c r="J9" s="16" t="n">
        <x:v>1</x:v>
      </x:c>
      <x:c r="K9" s="19" t="n">
        <x:f>IF(H9="","",ROUND(INDEX(Setup!$G$11:$G$13,MATCH(E9,Setup!$A$11:$A$13,0))*H9/Setup!$B$4,0)*Setup!$B$4)</x:f>
        <x:v>55</x:v>
      </x:c>
      <x:c r="L9" s="16" t="str"/>
    </x:row>
    <x:row r="10">
      <x:c r="A10" s="16" t="n">
        <x:v>1</x:v>
      </x:c>
      <x:c r="B10" s="16" t="n">
        <x:v>1</x:v>
      </x:c>
      <x:c r="C10" s="16" t="str">
        <x:v>5s</x:v>
      </x:c>
      <x:c r="D10" s="16" t="str">
        <x:v>Wed</x:v>
      </x:c>
      <x:c r="E10" s="16" t="str">
        <x:v>Bench</x:v>
      </x:c>
      <x:c r="F10" s="16" t="str">
        <x:v>Main</x:v>
      </x:c>
      <x:c r="G10" s="16" t="n">
        <x:v>2</x:v>
      </x:c>
      <x:c r="H10" s="21" t="n">
        <x:v>0.75</x:v>
      </x:c>
      <x:c r="I10" s="16" t="str">
        <x:v>5</x:v>
      </x:c>
      <x:c r="J10" s="16" t="n">
        <x:v>1</x:v>
      </x:c>
      <x:c r="K10" s="19" t="n">
        <x:f>IF(H10="","",ROUND(INDEX(Setup!$G$11:$G$13,MATCH(E10,Setup!$A$11:$A$13,0))*H10/Setup!$B$4,0)*Setup!$B$4)</x:f>
        <x:v>65</x:v>
      </x:c>
      <x:c r="L10" s="16" t="str"/>
    </x:row>
    <x:row r="11">
      <x:c r="A11" s="16" t="n">
        <x:v>1</x:v>
      </x:c>
      <x:c r="B11" s="16" t="n">
        <x:v>1</x:v>
      </x:c>
      <x:c r="C11" s="16" t="str">
        <x:v>5s</x:v>
      </x:c>
      <x:c r="D11" s="16" t="str">
        <x:v>Wed</x:v>
      </x:c>
      <x:c r="E11" s="16" t="str">
        <x:v>Bench</x:v>
      </x:c>
      <x:c r="F11" s="16" t="str">
        <x:v>Main</x:v>
      </x:c>
      <x:c r="G11" s="16" t="n">
        <x:v>3</x:v>
      </x:c>
      <x:c r="H11" s="21" t="n">
        <x:v>0.85</x:v>
      </x:c>
      <x:c r="I11" s="16" t="str">
        <x:v>5</x:v>
      </x:c>
      <x:c r="J11" s="16" t="n">
        <x:v>1</x:v>
      </x:c>
      <x:c r="K11" s="19" t="n">
        <x:f>IF(H11="","",ROUND(INDEX(Setup!$G$11:$G$13,MATCH(E11,Setup!$A$11:$A$13,0))*H11/Setup!$B$4,0)*Setup!$B$4)</x:f>
        <x:v>72.5</x:v>
      </x:c>
      <x:c r="L11" s="16" t="str">
        <x:v>No AMRAP; stop with shoulder calm.</x:v>
      </x:c>
    </x:row>
    <x:row r="12">
      <x:c r="A12" s="16" t="n">
        <x:v>1</x:v>
      </x:c>
      <x:c r="B12" s="16" t="n">
        <x:v>1</x:v>
      </x:c>
      <x:c r="C12" s="16" t="str">
        <x:v>5s</x:v>
      </x:c>
      <x:c r="D12" s="16" t="str">
        <x:v>Wed</x:v>
      </x:c>
      <x:c r="E12" s="16" t="str">
        <x:v>Bench</x:v>
      </x:c>
      <x:c r="F12" s="16" t="str">
        <x:v>FSL</x:v>
      </x:c>
      <x:c r="G12" s="16" t="str"/>
      <x:c r="H12" s="21" t="n">
        <x:v>0.65</x:v>
      </x:c>
      <x:c r="I12" s="16" t="str">
        <x:v>5</x:v>
      </x:c>
      <x:c r="J12" s="16" t="n">
        <x:v>5</x:v>
      </x:c>
      <x:c r="K12" s="19" t="n">
        <x:f>IF(H12="","",ROUND(INDEX(Setup!$G$11:$G$13,MATCH(E12,Setup!$A$11:$A$13,0))*H12/Setup!$B$4,0)*Setup!$B$4)</x:f>
        <x:v>55</x:v>
      </x:c>
      <x:c r="L12" s="16" t="str">
        <x:v>Same weight every set; cut volume if bar speed slows.</x:v>
      </x:c>
    </x:row>
    <x:row r="13">
      <x:c r="A13" s="16" t="n">
        <x:v>1</x:v>
      </x:c>
      <x:c r="B13" s="16" t="n">
        <x:v>1</x:v>
      </x:c>
      <x:c r="C13" s="16" t="str">
        <x:v>5s</x:v>
      </x:c>
      <x:c r="D13" s="16" t="str">
        <x:v>Fri</x:v>
      </x:c>
      <x:c r="E13" s="16" t="str">
        <x:v>Deadlift</x:v>
      </x:c>
      <x:c r="F13" s="16" t="str">
        <x:v>Main</x:v>
      </x:c>
      <x:c r="G13" s="16" t="n">
        <x:v>1</x:v>
      </x:c>
      <x:c r="H13" s="21" t="n">
        <x:v>0.65</x:v>
      </x:c>
      <x:c r="I13" s="16" t="str">
        <x:v>5</x:v>
      </x:c>
      <x:c r="J13" s="16" t="n">
        <x:v>1</x:v>
      </x:c>
      <x:c r="K13" s="19" t="n">
        <x:f>IF(H13="","",ROUND(INDEX(Setup!$G$11:$G$13,MATCH(E13,Setup!$A$11:$A$13,0))*H13/Setup!$B$4,0)*Setup!$B$4)</x:f>
        <x:v>122.5</x:v>
      </x:c>
      <x:c r="L13" s="16" t="str"/>
    </x:row>
    <x:row r="14">
      <x:c r="A14" s="16" t="n">
        <x:v>1</x:v>
      </x:c>
      <x:c r="B14" s="16" t="n">
        <x:v>1</x:v>
      </x:c>
      <x:c r="C14" s="16" t="str">
        <x:v>5s</x:v>
      </x:c>
      <x:c r="D14" s="16" t="str">
        <x:v>Fri</x:v>
      </x:c>
      <x:c r="E14" s="16" t="str">
        <x:v>Deadlift</x:v>
      </x:c>
      <x:c r="F14" s="16" t="str">
        <x:v>Main</x:v>
      </x:c>
      <x:c r="G14" s="16" t="n">
        <x:v>2</x:v>
      </x:c>
      <x:c r="H14" s="21" t="n">
        <x:v>0.75</x:v>
      </x:c>
      <x:c r="I14" s="16" t="str">
        <x:v>5</x:v>
      </x:c>
      <x:c r="J14" s="16" t="n">
        <x:v>1</x:v>
      </x:c>
      <x:c r="K14" s="19" t="n">
        <x:f>IF(H14="","",ROUND(INDEX(Setup!$G$11:$G$13,MATCH(E14,Setup!$A$11:$A$13,0))*H14/Setup!$B$4,0)*Setup!$B$4)</x:f>
        <x:v>142.5</x:v>
      </x:c>
      <x:c r="L14" s="16" t="str"/>
    </x:row>
    <x:row r="15">
      <x:c r="A15" s="16" t="n">
        <x:v>1</x:v>
      </x:c>
      <x:c r="B15" s="16" t="n">
        <x:v>1</x:v>
      </x:c>
      <x:c r="C15" s="16" t="str">
        <x:v>5s</x:v>
      </x:c>
      <x:c r="D15" s="16" t="str">
        <x:v>Fri</x:v>
      </x:c>
      <x:c r="E15" s="16" t="str">
        <x:v>Deadlift</x:v>
      </x:c>
      <x:c r="F15" s="16" t="str">
        <x:v>Main</x:v>
      </x:c>
      <x:c r="G15" s="16" t="n">
        <x:v>3</x:v>
      </x:c>
      <x:c r="H15" s="21" t="n">
        <x:v>0.85</x:v>
      </x:c>
      <x:c r="I15" s="16" t="str">
        <x:v>5+</x:v>
      </x:c>
      <x:c r="J15" s="16" t="n">
        <x:v>1</x:v>
      </x:c>
      <x:c r="K15" s="19" t="n">
        <x:f>IF(H15="","",ROUND(INDEX(Setup!$G$11:$G$13,MATCH(E15,Setup!$A$11:$A$13,0))*H15/Setup!$B$4,0)*Setup!$B$4)</x:f>
        <x:v>162.5</x:v>
      </x:c>
      <x:c r="L15" s="16" t="str">
        <x:v>Stop at RPE 8 / 2+ RIR. No grinding.</x:v>
      </x:c>
    </x:row>
    <x:row r="16">
      <x:c r="A16" s="16" t="n">
        <x:v>1</x:v>
      </x:c>
      <x:c r="B16" s="16" t="n">
        <x:v>1</x:v>
      </x:c>
      <x:c r="C16" s="16" t="str">
        <x:v>5s</x:v>
      </x:c>
      <x:c r="D16" s="16" t="str">
        <x:v>Fri</x:v>
      </x:c>
      <x:c r="E16" s="16" t="str">
        <x:v>Deadlift</x:v>
      </x:c>
      <x:c r="F16" s="16" t="str">
        <x:v>FSL</x:v>
      </x:c>
      <x:c r="G16" s="16" t="str"/>
      <x:c r="H16" s="21" t="n">
        <x:v>0.65</x:v>
      </x:c>
      <x:c r="I16" s="16" t="str">
        <x:v>5</x:v>
      </x:c>
      <x:c r="J16" s="16" t="n">
        <x:v>4</x:v>
      </x:c>
      <x:c r="K16" s="19" t="n">
        <x:f>IF(H16="","",ROUND(INDEX(Setup!$G$11:$G$13,MATCH(E16,Setup!$A$11:$A$13,0))*H16/Setup!$B$4,0)*Setup!$B$4)</x:f>
        <x:v>122.5</x:v>
      </x:c>
      <x:c r="L16" s="16" t="str">
        <x:v>Same weight every set; cut volume if bar speed slows.</x:v>
      </x:c>
    </x:row>
    <x:row r="17">
      <x:c r="A17" s="16" t="n">
        <x:v>1</x:v>
      </x:c>
      <x:c r="B17" s="16" t="n">
        <x:v>2</x:v>
      </x:c>
      <x:c r="C17" s="16" t="str">
        <x:v>3s</x:v>
      </x:c>
      <x:c r="D17" s="16" t="str">
        <x:v>Mon</x:v>
      </x:c>
      <x:c r="E17" s="16" t="str">
        <x:v>Squat</x:v>
      </x:c>
      <x:c r="F17" s="16" t="str">
        <x:v>Main</x:v>
      </x:c>
      <x:c r="G17" s="16" t="n">
        <x:v>1</x:v>
      </x:c>
      <x:c r="H17" s="21" t="n">
        <x:v>0.7</x:v>
      </x:c>
      <x:c r="I17" s="16" t="str">
        <x:v>3</x:v>
      </x:c>
      <x:c r="J17" s="16" t="n">
        <x:v>1</x:v>
      </x:c>
      <x:c r="K17" s="19" t="n">
        <x:f>IF(H17="","",ROUND(INDEX(Setup!$G$11:$G$13,MATCH(E17,Setup!$A$11:$A$13,0))*H17/Setup!$B$4,0)*Setup!$B$4)</x:f>
        <x:v>72.5</x:v>
      </x:c>
      <x:c r="L17" s="16" t="str"/>
    </x:row>
    <x:row r="18">
      <x:c r="A18" s="16" t="n">
        <x:v>1</x:v>
      </x:c>
      <x:c r="B18" s="16" t="n">
        <x:v>2</x:v>
      </x:c>
      <x:c r="C18" s="16" t="str">
        <x:v>3s</x:v>
      </x:c>
      <x:c r="D18" s="16" t="str">
        <x:v>Mon</x:v>
      </x:c>
      <x:c r="E18" s="16" t="str">
        <x:v>Squat</x:v>
      </x:c>
      <x:c r="F18" s="16" t="str">
        <x:v>Main</x:v>
      </x:c>
      <x:c r="G18" s="16" t="n">
        <x:v>2</x:v>
      </x:c>
      <x:c r="H18" s="21" t="n">
        <x:v>0.8</x:v>
      </x:c>
      <x:c r="I18" s="16" t="str">
        <x:v>3</x:v>
      </x:c>
      <x:c r="J18" s="16" t="n">
        <x:v>1</x:v>
      </x:c>
      <x:c r="K18" s="19" t="n">
        <x:f>IF(H18="","",ROUND(INDEX(Setup!$G$11:$G$13,MATCH(E18,Setup!$A$11:$A$13,0))*H18/Setup!$B$4,0)*Setup!$B$4)</x:f>
        <x:v>82.5</x:v>
      </x:c>
      <x:c r="L18" s="16" t="str"/>
    </x:row>
    <x:row r="19">
      <x:c r="A19" s="16" t="n">
        <x:v>1</x:v>
      </x:c>
      <x:c r="B19" s="16" t="n">
        <x:v>2</x:v>
      </x:c>
      <x:c r="C19" s="16" t="str">
        <x:v>3s</x:v>
      </x:c>
      <x:c r="D19" s="16" t="str">
        <x:v>Mon</x:v>
      </x:c>
      <x:c r="E19" s="16" t="str">
        <x:v>Squat</x:v>
      </x:c>
      <x:c r="F19" s="16" t="str">
        <x:v>Main</x:v>
      </x:c>
      <x:c r="G19" s="16" t="n">
        <x:v>3</x:v>
      </x:c>
      <x:c r="H19" s="21" t="n">
        <x:v>0.9</x:v>
      </x:c>
      <x:c r="I19" s="16" t="str">
        <x:v>3+</x:v>
      </x:c>
      <x:c r="J19" s="16" t="n">
        <x:v>1</x:v>
      </x:c>
      <x:c r="K19" s="19" t="n">
        <x:f>IF(H19="","",ROUND(INDEX(Setup!$G$11:$G$13,MATCH(E19,Setup!$A$11:$A$13,0))*H19/Setup!$B$4,0)*Setup!$B$4)</x:f>
        <x:v>92.5</x:v>
      </x:c>
      <x:c r="L19" s="16" t="str">
        <x:v>Stop at RPE 8 / 2+ RIR. No grinding.</x:v>
      </x:c>
    </x:row>
    <x:row r="20">
      <x:c r="A20" s="16" t="n">
        <x:v>1</x:v>
      </x:c>
      <x:c r="B20" s="16" t="n">
        <x:v>2</x:v>
      </x:c>
      <x:c r="C20" s="16" t="str">
        <x:v>3s</x:v>
      </x:c>
      <x:c r="D20" s="16" t="str">
        <x:v>Mon</x:v>
      </x:c>
      <x:c r="E20" s="16" t="str">
        <x:v>Squat</x:v>
      </x:c>
      <x:c r="F20" s="16" t="str">
        <x:v>FSL</x:v>
      </x:c>
      <x:c r="G20" s="16" t="str"/>
      <x:c r="H20" s="21" t="n">
        <x:v>0.65</x:v>
      </x:c>
      <x:c r="I20" s="16" t="str">
        <x:v>5</x:v>
      </x:c>
      <x:c r="J20" s="16" t="n">
        <x:v>5</x:v>
      </x:c>
      <x:c r="K20" s="19" t="n">
        <x:f>IF(H20="","",ROUND(INDEX(Setup!$G$11:$G$13,MATCH(E20,Setup!$A$11:$A$13,0))*H20/Setup!$B$4,0)*Setup!$B$4)</x:f>
        <x:v>67.5</x:v>
      </x:c>
      <x:c r="L20" s="16" t="str">
        <x:v>Same weight every set; cut volume if bar speed slows.</x:v>
      </x:c>
    </x:row>
    <x:row r="21">
      <x:c r="A21" s="16" t="n">
        <x:v>1</x:v>
      </x:c>
      <x:c r="B21" s="16" t="n">
        <x:v>2</x:v>
      </x:c>
      <x:c r="C21" s="16" t="str">
        <x:v>3s</x:v>
      </x:c>
      <x:c r="D21" s="16" t="str">
        <x:v>Wed</x:v>
      </x:c>
      <x:c r="E21" s="16" t="str">
        <x:v>Bench</x:v>
      </x:c>
      <x:c r="F21" s="16" t="str">
        <x:v>Main</x:v>
      </x:c>
      <x:c r="G21" s="16" t="n">
        <x:v>1</x:v>
      </x:c>
      <x:c r="H21" s="21" t="n">
        <x:v>0.7</x:v>
      </x:c>
      <x:c r="I21" s="16" t="str">
        <x:v>3</x:v>
      </x:c>
      <x:c r="J21" s="16" t="n">
        <x:v>1</x:v>
      </x:c>
      <x:c r="K21" s="19" t="n">
        <x:f>IF(H21="","",ROUND(INDEX(Setup!$G$11:$G$13,MATCH(E21,Setup!$A$11:$A$13,0))*H21/Setup!$B$4,0)*Setup!$B$4)</x:f>
        <x:v>60</x:v>
      </x:c>
      <x:c r="L21" s="16" t="str"/>
    </x:row>
    <x:row r="22">
      <x:c r="A22" s="16" t="n">
        <x:v>1</x:v>
      </x:c>
      <x:c r="B22" s="16" t="n">
        <x:v>2</x:v>
      </x:c>
      <x:c r="C22" s="16" t="str">
        <x:v>3s</x:v>
      </x:c>
      <x:c r="D22" s="16" t="str">
        <x:v>Wed</x:v>
      </x:c>
      <x:c r="E22" s="16" t="str">
        <x:v>Bench</x:v>
      </x:c>
      <x:c r="F22" s="16" t="str">
        <x:v>Main</x:v>
      </x:c>
      <x:c r="G22" s="16" t="n">
        <x:v>2</x:v>
      </x:c>
      <x:c r="H22" s="21" t="n">
        <x:v>0.8</x:v>
      </x:c>
      <x:c r="I22" s="16" t="str">
        <x:v>3</x:v>
      </x:c>
      <x:c r="J22" s="16" t="n">
        <x:v>1</x:v>
      </x:c>
      <x:c r="K22" s="19" t="n">
        <x:f>IF(H22="","",ROUND(INDEX(Setup!$G$11:$G$13,MATCH(E22,Setup!$A$11:$A$13,0))*H22/Setup!$B$4,0)*Setup!$B$4)</x:f>
        <x:v>67.5</x:v>
      </x:c>
      <x:c r="L22" s="16" t="str"/>
    </x:row>
    <x:row r="23">
      <x:c r="A23" s="16" t="n">
        <x:v>1</x:v>
      </x:c>
      <x:c r="B23" s="16" t="n">
        <x:v>2</x:v>
      </x:c>
      <x:c r="C23" s="16" t="str">
        <x:v>3s</x:v>
      </x:c>
      <x:c r="D23" s="16" t="str">
        <x:v>Wed</x:v>
      </x:c>
      <x:c r="E23" s="16" t="str">
        <x:v>Bench</x:v>
      </x:c>
      <x:c r="F23" s="16" t="str">
        <x:v>Main</x:v>
      </x:c>
      <x:c r="G23" s="16" t="n">
        <x:v>3</x:v>
      </x:c>
      <x:c r="H23" s="21" t="n">
        <x:v>0.9</x:v>
      </x:c>
      <x:c r="I23" s="16" t="str">
        <x:v>3</x:v>
      </x:c>
      <x:c r="J23" s="16" t="n">
        <x:v>1</x:v>
      </x:c>
      <x:c r="K23" s="19" t="n">
        <x:f>IF(H23="","",ROUND(INDEX(Setup!$G$11:$G$13,MATCH(E23,Setup!$A$11:$A$13,0))*H23/Setup!$B$4,0)*Setup!$B$4)</x:f>
        <x:v>77.5</x:v>
      </x:c>
      <x:c r="L23" s="16" t="str">
        <x:v>No AMRAP; stop with shoulder calm.</x:v>
      </x:c>
    </x:row>
    <x:row r="24">
      <x:c r="A24" s="16" t="n">
        <x:v>1</x:v>
      </x:c>
      <x:c r="B24" s="16" t="n">
        <x:v>2</x:v>
      </x:c>
      <x:c r="C24" s="16" t="str">
        <x:v>3s</x:v>
      </x:c>
      <x:c r="D24" s="16" t="str">
        <x:v>Wed</x:v>
      </x:c>
      <x:c r="E24" s="16" t="str">
        <x:v>Bench</x:v>
      </x:c>
      <x:c r="F24" s="16" t="str">
        <x:v>FSL</x:v>
      </x:c>
      <x:c r="G24" s="16" t="str"/>
      <x:c r="H24" s="21" t="n">
        <x:v>0.65</x:v>
      </x:c>
      <x:c r="I24" s="16" t="str">
        <x:v>5</x:v>
      </x:c>
      <x:c r="J24" s="16" t="n">
        <x:v>5</x:v>
      </x:c>
      <x:c r="K24" s="19" t="n">
        <x:f>IF(H24="","",ROUND(INDEX(Setup!$G$11:$G$13,MATCH(E24,Setup!$A$11:$A$13,0))*H24/Setup!$B$4,0)*Setup!$B$4)</x:f>
        <x:v>55</x:v>
      </x:c>
      <x:c r="L24" s="16" t="str">
        <x:v>Same weight every set; cut volume if bar speed slows.</x:v>
      </x:c>
    </x:row>
    <x:row r="25">
      <x:c r="A25" s="16" t="n">
        <x:v>1</x:v>
      </x:c>
      <x:c r="B25" s="16" t="n">
        <x:v>2</x:v>
      </x:c>
      <x:c r="C25" s="16" t="str">
        <x:v>3s</x:v>
      </x:c>
      <x:c r="D25" s="16" t="str">
        <x:v>Fri</x:v>
      </x:c>
      <x:c r="E25" s="16" t="str">
        <x:v>Deadlift</x:v>
      </x:c>
      <x:c r="F25" s="16" t="str">
        <x:v>Main</x:v>
      </x:c>
      <x:c r="G25" s="16" t="n">
        <x:v>1</x:v>
      </x:c>
      <x:c r="H25" s="21" t="n">
        <x:v>0.7</x:v>
      </x:c>
      <x:c r="I25" s="16" t="str">
        <x:v>3</x:v>
      </x:c>
      <x:c r="J25" s="16" t="n">
        <x:v>1</x:v>
      </x:c>
      <x:c r="K25" s="19" t="n">
        <x:f>IF(H25="","",ROUND(INDEX(Setup!$G$11:$G$13,MATCH(E25,Setup!$A$11:$A$13,0))*H25/Setup!$B$4,0)*Setup!$B$4)</x:f>
        <x:v>132.5</x:v>
      </x:c>
      <x:c r="L25" s="16" t="str"/>
    </x:row>
    <x:row r="26">
      <x:c r="A26" s="16" t="n">
        <x:v>1</x:v>
      </x:c>
      <x:c r="B26" s="16" t="n">
        <x:v>2</x:v>
      </x:c>
      <x:c r="C26" s="16" t="str">
        <x:v>3s</x:v>
      </x:c>
      <x:c r="D26" s="16" t="str">
        <x:v>Fri</x:v>
      </x:c>
      <x:c r="E26" s="16" t="str">
        <x:v>Deadlift</x:v>
      </x:c>
      <x:c r="F26" s="16" t="str">
        <x:v>Main</x:v>
      </x:c>
      <x:c r="G26" s="16" t="n">
        <x:v>2</x:v>
      </x:c>
      <x:c r="H26" s="21" t="n">
        <x:v>0.8</x:v>
      </x:c>
      <x:c r="I26" s="16" t="str">
        <x:v>3</x:v>
      </x:c>
      <x:c r="J26" s="16" t="n">
        <x:v>1</x:v>
      </x:c>
      <x:c r="K26" s="19" t="n">
        <x:f>IF(H26="","",ROUND(INDEX(Setup!$G$11:$G$13,MATCH(E26,Setup!$A$11:$A$13,0))*H26/Setup!$B$4,0)*Setup!$B$4)</x:f>
        <x:v>152.5</x:v>
      </x:c>
      <x:c r="L26" s="16" t="str"/>
    </x:row>
    <x:row r="27">
      <x:c r="A27" s="16" t="n">
        <x:v>1</x:v>
      </x:c>
      <x:c r="B27" s="16" t="n">
        <x:v>2</x:v>
      </x:c>
      <x:c r="C27" s="16" t="str">
        <x:v>3s</x:v>
      </x:c>
      <x:c r="D27" s="16" t="str">
        <x:v>Fri</x:v>
      </x:c>
      <x:c r="E27" s="16" t="str">
        <x:v>Deadlift</x:v>
      </x:c>
      <x:c r="F27" s="16" t="str">
        <x:v>Main</x:v>
      </x:c>
      <x:c r="G27" s="16" t="n">
        <x:v>3</x:v>
      </x:c>
      <x:c r="H27" s="21" t="n">
        <x:v>0.9</x:v>
      </x:c>
      <x:c r="I27" s="16" t="str">
        <x:v>3+</x:v>
      </x:c>
      <x:c r="J27" s="16" t="n">
        <x:v>1</x:v>
      </x:c>
      <x:c r="K27" s="19" t="n">
        <x:f>IF(H27="","",ROUND(INDEX(Setup!$G$11:$G$13,MATCH(E27,Setup!$A$11:$A$13,0))*H27/Setup!$B$4,0)*Setup!$B$4)</x:f>
        <x:v>170</x:v>
      </x:c>
      <x:c r="L27" s="16" t="str">
        <x:v>Stop at RPE 8 / 2+ RIR. No grinding.</x:v>
      </x:c>
    </x:row>
    <x:row r="28">
      <x:c r="A28" s="16" t="n">
        <x:v>1</x:v>
      </x:c>
      <x:c r="B28" s="16" t="n">
        <x:v>2</x:v>
      </x:c>
      <x:c r="C28" s="16" t="str">
        <x:v>3s</x:v>
      </x:c>
      <x:c r="D28" s="16" t="str">
        <x:v>Fri</x:v>
      </x:c>
      <x:c r="E28" s="16" t="str">
        <x:v>Deadlift</x:v>
      </x:c>
      <x:c r="F28" s="16" t="str">
        <x:v>FSL</x:v>
      </x:c>
      <x:c r="G28" s="16" t="str"/>
      <x:c r="H28" s="21" t="n">
        <x:v>0.65</x:v>
      </x:c>
      <x:c r="I28" s="16" t="str">
        <x:v>5</x:v>
      </x:c>
      <x:c r="J28" s="16" t="n">
        <x:v>4</x:v>
      </x:c>
      <x:c r="K28" s="19" t="n">
        <x:f>IF(H28="","",ROUND(INDEX(Setup!$G$11:$G$13,MATCH(E28,Setup!$A$11:$A$13,0))*H28/Setup!$B$4,0)*Setup!$B$4)</x:f>
        <x:v>122.5</x:v>
      </x:c>
      <x:c r="L28" s="16" t="str">
        <x:v>Same weight every set; cut volume if bar speed slows.</x:v>
      </x:c>
    </x:row>
    <x:row r="29">
      <x:c r="A29" s="16" t="n">
        <x:v>1</x:v>
      </x:c>
      <x:c r="B29" s="16" t="n">
        <x:v>3</x:v>
      </x:c>
      <x:c r="C29" s="16" t="str">
        <x:v>5/3/1</x:v>
      </x:c>
      <x:c r="D29" s="16" t="str">
        <x:v>Mon</x:v>
      </x:c>
      <x:c r="E29" s="16" t="str">
        <x:v>Squat</x:v>
      </x:c>
      <x:c r="F29" s="16" t="str">
        <x:v>Main</x:v>
      </x:c>
      <x:c r="G29" s="16" t="n">
        <x:v>1</x:v>
      </x:c>
      <x:c r="H29" s="21" t="n">
        <x:v>0.75</x:v>
      </x:c>
      <x:c r="I29" s="16" t="str">
        <x:v>5</x:v>
      </x:c>
      <x:c r="J29" s="16" t="n">
        <x:v>1</x:v>
      </x:c>
      <x:c r="K29" s="19" t="n">
        <x:f>IF(H29="","",ROUND(INDEX(Setup!$G$11:$G$13,MATCH(E29,Setup!$A$11:$A$13,0))*H29/Setup!$B$4,0)*Setup!$B$4)</x:f>
        <x:v>77.5</x:v>
      </x:c>
      <x:c r="L29" s="16" t="str"/>
    </x:row>
    <x:row r="30">
      <x:c r="A30" s="16" t="n">
        <x:v>1</x:v>
      </x:c>
      <x:c r="B30" s="16" t="n">
        <x:v>3</x:v>
      </x:c>
      <x:c r="C30" s="16" t="str">
        <x:v>5/3/1</x:v>
      </x:c>
      <x:c r="D30" s="16" t="str">
        <x:v>Mon</x:v>
      </x:c>
      <x:c r="E30" s="16" t="str">
        <x:v>Squat</x:v>
      </x:c>
      <x:c r="F30" s="16" t="str">
        <x:v>Main</x:v>
      </x:c>
      <x:c r="G30" s="16" t="n">
        <x:v>2</x:v>
      </x:c>
      <x:c r="H30" s="21" t="n">
        <x:v>0.85</x:v>
      </x:c>
      <x:c r="I30" s="16" t="str">
        <x:v>3</x:v>
      </x:c>
      <x:c r="J30" s="16" t="n">
        <x:v>1</x:v>
      </x:c>
      <x:c r="K30" s="19" t="n">
        <x:f>IF(H30="","",ROUND(INDEX(Setup!$G$11:$G$13,MATCH(E30,Setup!$A$11:$A$13,0))*H30/Setup!$B$4,0)*Setup!$B$4)</x:f>
        <x:v>87.5</x:v>
      </x:c>
      <x:c r="L30" s="16" t="str"/>
    </x:row>
    <x:row r="31">
      <x:c r="A31" s="16" t="n">
        <x:v>1</x:v>
      </x:c>
      <x:c r="B31" s="16" t="n">
        <x:v>3</x:v>
      </x:c>
      <x:c r="C31" s="16" t="str">
        <x:v>5/3/1</x:v>
      </x:c>
      <x:c r="D31" s="16" t="str">
        <x:v>Mon</x:v>
      </x:c>
      <x:c r="E31" s="16" t="str">
        <x:v>Squat</x:v>
      </x:c>
      <x:c r="F31" s="16" t="str">
        <x:v>Main</x:v>
      </x:c>
      <x:c r="G31" s="16" t="n">
        <x:v>3</x:v>
      </x:c>
      <x:c r="H31" s="21" t="n">
        <x:v>0.95</x:v>
      </x:c>
      <x:c r="I31" s="16" t="str">
        <x:v>1+</x:v>
      </x:c>
      <x:c r="J31" s="16" t="n">
        <x:v>1</x:v>
      </x:c>
      <x:c r="K31" s="19" t="n">
        <x:f>IF(H31="","",ROUND(INDEX(Setup!$G$11:$G$13,MATCH(E31,Setup!$A$11:$A$13,0))*H31/Setup!$B$4,0)*Setup!$B$4)</x:f>
        <x:v>97.5</x:v>
      </x:c>
      <x:c r="L31" s="16" t="str">
        <x:v>Stop at RPE 8 / 2+ RIR. No grinding.</x:v>
      </x:c>
    </x:row>
    <x:row r="32">
      <x:c r="A32" s="16" t="n">
        <x:v>1</x:v>
      </x:c>
      <x:c r="B32" s="16" t="n">
        <x:v>3</x:v>
      </x:c>
      <x:c r="C32" s="16" t="str">
        <x:v>5/3/1</x:v>
      </x:c>
      <x:c r="D32" s="16" t="str">
        <x:v>Mon</x:v>
      </x:c>
      <x:c r="E32" s="16" t="str">
        <x:v>Squat</x:v>
      </x:c>
      <x:c r="F32" s="16" t="str">
        <x:v>FSL</x:v>
      </x:c>
      <x:c r="G32" s="16" t="str"/>
      <x:c r="H32" s="21" t="n">
        <x:v>0.65</x:v>
      </x:c>
      <x:c r="I32" s="16" t="str">
        <x:v>5</x:v>
      </x:c>
      <x:c r="J32" s="16" t="n">
        <x:v>5</x:v>
      </x:c>
      <x:c r="K32" s="19" t="n">
        <x:f>IF(H32="","",ROUND(INDEX(Setup!$G$11:$G$13,MATCH(E32,Setup!$A$11:$A$13,0))*H32/Setup!$B$4,0)*Setup!$B$4)</x:f>
        <x:v>67.5</x:v>
      </x:c>
      <x:c r="L32" s="16" t="str">
        <x:v>Same weight every set; cut volume if bar speed slows.</x:v>
      </x:c>
    </x:row>
    <x:row r="33">
      <x:c r="A33" s="16" t="n">
        <x:v>1</x:v>
      </x:c>
      <x:c r="B33" s="16" t="n">
        <x:v>3</x:v>
      </x:c>
      <x:c r="C33" s="16" t="str">
        <x:v>5/3/1</x:v>
      </x:c>
      <x:c r="D33" s="16" t="str">
        <x:v>Wed</x:v>
      </x:c>
      <x:c r="E33" s="16" t="str">
        <x:v>Bench</x:v>
      </x:c>
      <x:c r="F33" s="16" t="str">
        <x:v>Main</x:v>
      </x:c>
      <x:c r="G33" s="16" t="n">
        <x:v>1</x:v>
      </x:c>
      <x:c r="H33" s="21" t="n">
        <x:v>0.75</x:v>
      </x:c>
      <x:c r="I33" s="16" t="str">
        <x:v>5</x:v>
      </x:c>
      <x:c r="J33" s="16" t="n">
        <x:v>1</x:v>
      </x:c>
      <x:c r="K33" s="19" t="n">
        <x:f>IF(H33="","",ROUND(INDEX(Setup!$G$11:$G$13,MATCH(E33,Setup!$A$11:$A$13,0))*H33/Setup!$B$4,0)*Setup!$B$4)</x:f>
        <x:v>65</x:v>
      </x:c>
      <x:c r="L33" s="16" t="str"/>
    </x:row>
    <x:row r="34">
      <x:c r="A34" s="16" t="n">
        <x:v>1</x:v>
      </x:c>
      <x:c r="B34" s="16" t="n">
        <x:v>3</x:v>
      </x:c>
      <x:c r="C34" s="16" t="str">
        <x:v>5/3/1</x:v>
      </x:c>
      <x:c r="D34" s="16" t="str">
        <x:v>Wed</x:v>
      </x:c>
      <x:c r="E34" s="16" t="str">
        <x:v>Bench</x:v>
      </x:c>
      <x:c r="F34" s="16" t="str">
        <x:v>Main</x:v>
      </x:c>
      <x:c r="G34" s="16" t="n">
        <x:v>2</x:v>
      </x:c>
      <x:c r="H34" s="21" t="n">
        <x:v>0.85</x:v>
      </x:c>
      <x:c r="I34" s="16" t="str">
        <x:v>3</x:v>
      </x:c>
      <x:c r="J34" s="16" t="n">
        <x:v>1</x:v>
      </x:c>
      <x:c r="K34" s="19" t="n">
        <x:f>IF(H34="","",ROUND(INDEX(Setup!$G$11:$G$13,MATCH(E34,Setup!$A$11:$A$13,0))*H34/Setup!$B$4,0)*Setup!$B$4)</x:f>
        <x:v>72.5</x:v>
      </x:c>
      <x:c r="L34" s="16" t="str"/>
    </x:row>
    <x:row r="35">
      <x:c r="A35" s="16" t="n">
        <x:v>1</x:v>
      </x:c>
      <x:c r="B35" s="16" t="n">
        <x:v>3</x:v>
      </x:c>
      <x:c r="C35" s="16" t="str">
        <x:v>5/3/1</x:v>
      </x:c>
      <x:c r="D35" s="16" t="str">
        <x:v>Wed</x:v>
      </x:c>
      <x:c r="E35" s="16" t="str">
        <x:v>Bench</x:v>
      </x:c>
      <x:c r="F35" s="16" t="str">
        <x:v>Main</x:v>
      </x:c>
      <x:c r="G35" s="16" t="n">
        <x:v>3</x:v>
      </x:c>
      <x:c r="H35" s="21" t="n">
        <x:v>0.95</x:v>
      </x:c>
      <x:c r="I35" s="16" t="str">
        <x:v>1</x:v>
      </x:c>
      <x:c r="J35" s="16" t="n">
        <x:v>1</x:v>
      </x:c>
      <x:c r="K35" s="19" t="n">
        <x:f>IF(H35="","",ROUND(INDEX(Setup!$G$11:$G$13,MATCH(E35,Setup!$A$11:$A$13,0))*H35/Setup!$B$4,0)*Setup!$B$4)</x:f>
        <x:v>80</x:v>
      </x:c>
      <x:c r="L35" s="16" t="str">
        <x:v>No AMRAP; stop with shoulder calm.</x:v>
      </x:c>
    </x:row>
    <x:row r="36">
      <x:c r="A36" s="16" t="n">
        <x:v>1</x:v>
      </x:c>
      <x:c r="B36" s="16" t="n">
        <x:v>3</x:v>
      </x:c>
      <x:c r="C36" s="16" t="str">
        <x:v>5/3/1</x:v>
      </x:c>
      <x:c r="D36" s="16" t="str">
        <x:v>Wed</x:v>
      </x:c>
      <x:c r="E36" s="16" t="str">
        <x:v>Bench</x:v>
      </x:c>
      <x:c r="F36" s="16" t="str">
        <x:v>FSL</x:v>
      </x:c>
      <x:c r="G36" s="16" t="str"/>
      <x:c r="H36" s="21" t="n">
        <x:v>0.65</x:v>
      </x:c>
      <x:c r="I36" s="16" t="str">
        <x:v>5</x:v>
      </x:c>
      <x:c r="J36" s="16" t="n">
        <x:v>5</x:v>
      </x:c>
      <x:c r="K36" s="19" t="n">
        <x:f>IF(H36="","",ROUND(INDEX(Setup!$G$11:$G$13,MATCH(E36,Setup!$A$11:$A$13,0))*H36/Setup!$B$4,0)*Setup!$B$4)</x:f>
        <x:v>55</x:v>
      </x:c>
      <x:c r="L36" s="16" t="str">
        <x:v>Same weight every set; cut volume if bar speed slows.</x:v>
      </x:c>
    </x:row>
    <x:row r="37">
      <x:c r="A37" s="16" t="n">
        <x:v>1</x:v>
      </x:c>
      <x:c r="B37" s="16" t="n">
        <x:v>3</x:v>
      </x:c>
      <x:c r="C37" s="16" t="str">
        <x:v>5/3/1</x:v>
      </x:c>
      <x:c r="D37" s="16" t="str">
        <x:v>Fri</x:v>
      </x:c>
      <x:c r="E37" s="16" t="str">
        <x:v>Deadlift</x:v>
      </x:c>
      <x:c r="F37" s="16" t="str">
        <x:v>Main</x:v>
      </x:c>
      <x:c r="G37" s="16" t="n">
        <x:v>1</x:v>
      </x:c>
      <x:c r="H37" s="21" t="n">
        <x:v>0.75</x:v>
      </x:c>
      <x:c r="I37" s="16" t="str">
        <x:v>5</x:v>
      </x:c>
      <x:c r="J37" s="16" t="n">
        <x:v>1</x:v>
      </x:c>
      <x:c r="K37" s="19" t="n">
        <x:f>IF(H37="","",ROUND(INDEX(Setup!$G$11:$G$13,MATCH(E37,Setup!$A$11:$A$13,0))*H37/Setup!$B$4,0)*Setup!$B$4)</x:f>
        <x:v>142.5</x:v>
      </x:c>
      <x:c r="L37" s="16" t="str"/>
    </x:row>
    <x:row r="38">
      <x:c r="A38" s="16" t="n">
        <x:v>1</x:v>
      </x:c>
      <x:c r="B38" s="16" t="n">
        <x:v>3</x:v>
      </x:c>
      <x:c r="C38" s="16" t="str">
        <x:v>5/3/1</x:v>
      </x:c>
      <x:c r="D38" s="16" t="str">
        <x:v>Fri</x:v>
      </x:c>
      <x:c r="E38" s="16" t="str">
        <x:v>Deadlift</x:v>
      </x:c>
      <x:c r="F38" s="16" t="str">
        <x:v>Main</x:v>
      </x:c>
      <x:c r="G38" s="16" t="n">
        <x:v>2</x:v>
      </x:c>
      <x:c r="H38" s="21" t="n">
        <x:v>0.85</x:v>
      </x:c>
      <x:c r="I38" s="16" t="str">
        <x:v>3</x:v>
      </x:c>
      <x:c r="J38" s="16" t="n">
        <x:v>1</x:v>
      </x:c>
      <x:c r="K38" s="19" t="n">
        <x:f>IF(H38="","",ROUND(INDEX(Setup!$G$11:$G$13,MATCH(E38,Setup!$A$11:$A$13,0))*H38/Setup!$B$4,0)*Setup!$B$4)</x:f>
        <x:v>162.5</x:v>
      </x:c>
      <x:c r="L38" s="16" t="str"/>
    </x:row>
    <x:row r="39">
      <x:c r="A39" s="16" t="n">
        <x:v>1</x:v>
      </x:c>
      <x:c r="B39" s="16" t="n">
        <x:v>3</x:v>
      </x:c>
      <x:c r="C39" s="16" t="str">
        <x:v>5/3/1</x:v>
      </x:c>
      <x:c r="D39" s="16" t="str">
        <x:v>Fri</x:v>
      </x:c>
      <x:c r="E39" s="16" t="str">
        <x:v>Deadlift</x:v>
      </x:c>
      <x:c r="F39" s="16" t="str">
        <x:v>Main</x:v>
      </x:c>
      <x:c r="G39" s="16" t="n">
        <x:v>3</x:v>
      </x:c>
      <x:c r="H39" s="21" t="n">
        <x:v>0.95</x:v>
      </x:c>
      <x:c r="I39" s="16" t="str">
        <x:v>1+</x:v>
      </x:c>
      <x:c r="J39" s="16" t="n">
        <x:v>1</x:v>
      </x:c>
      <x:c r="K39" s="19" t="n">
        <x:f>IF(H39="","",ROUND(INDEX(Setup!$G$11:$G$13,MATCH(E39,Setup!$A$11:$A$13,0))*H39/Setup!$B$4,0)*Setup!$B$4)</x:f>
        <x:v>180</x:v>
      </x:c>
      <x:c r="L39" s="16" t="str">
        <x:v>Stop at RPE 8 / 2+ RIR. No grinding.</x:v>
      </x:c>
    </x:row>
    <x:row r="40">
      <x:c r="A40" s="16" t="n">
        <x:v>1</x:v>
      </x:c>
      <x:c r="B40" s="16" t="n">
        <x:v>3</x:v>
      </x:c>
      <x:c r="C40" s="16" t="str">
        <x:v>5/3/1</x:v>
      </x:c>
      <x:c r="D40" s="16" t="str">
        <x:v>Fri</x:v>
      </x:c>
      <x:c r="E40" s="16" t="str">
        <x:v>Deadlift</x:v>
      </x:c>
      <x:c r="F40" s="16" t="str">
        <x:v>FSL</x:v>
      </x:c>
      <x:c r="G40" s="16" t="str"/>
      <x:c r="H40" s="21" t="n">
        <x:v>0.65</x:v>
      </x:c>
      <x:c r="I40" s="16" t="str">
        <x:v>5</x:v>
      </x:c>
      <x:c r="J40" s="16" t="n">
        <x:v>4</x:v>
      </x:c>
      <x:c r="K40" s="19" t="n">
        <x:f>IF(H40="","",ROUND(INDEX(Setup!$G$11:$G$13,MATCH(E40,Setup!$A$11:$A$13,0))*H40/Setup!$B$4,0)*Setup!$B$4)</x:f>
        <x:v>122.5</x:v>
      </x:c>
      <x:c r="L40" s="16" t="str">
        <x:v>Same weight every set; cut volume if bar speed slows.</x:v>
      </x:c>
    </x:row>
    <x:row r="41">
      <x:c r="A41" s="16" t="n">
        <x:v>1</x:v>
      </x:c>
      <x:c r="B41" s="16" t="n">
        <x:v>4</x:v>
      </x:c>
      <x:c r="C41" s="16" t="str">
        <x:v>Deload</x:v>
      </x:c>
      <x:c r="D41" s="16" t="str">
        <x:v>Mon</x:v>
      </x:c>
      <x:c r="E41" s="16" t="str">
        <x:v>Squat</x:v>
      </x:c>
      <x:c r="F41" s="16" t="str">
        <x:v>Main</x:v>
      </x:c>
      <x:c r="G41" s="16" t="n">
        <x:v>1</x:v>
      </x:c>
      <x:c r="H41" s="21" t="n">
        <x:v>0.4</x:v>
      </x:c>
      <x:c r="I41" s="16" t="str">
        <x:v>5</x:v>
      </x:c>
      <x:c r="J41" s="16" t="n">
        <x:v>1</x:v>
      </x:c>
      <x:c r="K41" s="19" t="n">
        <x:f>IF(H41="","",ROUND(INDEX(Setup!$G$11:$G$13,MATCH(E41,Setup!$A$11:$A$13,0))*H41/Setup!$B$4,0)*Setup!$B$4)</x:f>
        <x:v>40</x:v>
      </x:c>
      <x:c r="L41" s="16" t="str"/>
    </x:row>
    <x:row r="42">
      <x:c r="A42" s="16" t="n">
        <x:v>1</x:v>
      </x:c>
      <x:c r="B42" s="16" t="n">
        <x:v>4</x:v>
      </x:c>
      <x:c r="C42" s="16" t="str">
        <x:v>Deload</x:v>
      </x:c>
      <x:c r="D42" s="16" t="str">
        <x:v>Mon</x:v>
      </x:c>
      <x:c r="E42" s="16" t="str">
        <x:v>Squat</x:v>
      </x:c>
      <x:c r="F42" s="16" t="str">
        <x:v>Main</x:v>
      </x:c>
      <x:c r="G42" s="16" t="n">
        <x:v>2</x:v>
      </x:c>
      <x:c r="H42" s="21" t="n">
        <x:v>0.5</x:v>
      </x:c>
      <x:c r="I42" s="16" t="str">
        <x:v>5</x:v>
      </x:c>
      <x:c r="J42" s="16" t="n">
        <x:v>1</x:v>
      </x:c>
      <x:c r="K42" s="19" t="n">
        <x:f>IF(H42="","",ROUND(INDEX(Setup!$G$11:$G$13,MATCH(E42,Setup!$A$11:$A$13,0))*H42/Setup!$B$4,0)*Setup!$B$4)</x:f>
        <x:v>52.5</x:v>
      </x:c>
      <x:c r="L42" s="16" t="str"/>
    </x:row>
    <x:row r="43">
      <x:c r="A43" s="16" t="n">
        <x:v>1</x:v>
      </x:c>
      <x:c r="B43" s="16" t="n">
        <x:v>4</x:v>
      </x:c>
      <x:c r="C43" s="16" t="str">
        <x:v>Deload</x:v>
      </x:c>
      <x:c r="D43" s="16" t="str">
        <x:v>Mon</x:v>
      </x:c>
      <x:c r="E43" s="16" t="str">
        <x:v>Squat</x:v>
      </x:c>
      <x:c r="F43" s="16" t="str">
        <x:v>Main</x:v>
      </x:c>
      <x:c r="G43" s="16" t="n">
        <x:v>3</x:v>
      </x:c>
      <x:c r="H43" s="21" t="n">
        <x:v>0.6</x:v>
      </x:c>
      <x:c r="I43" s="16" t="str">
        <x:v>5</x:v>
      </x:c>
      <x:c r="J43" s="16" t="n">
        <x:v>1</x:v>
      </x:c>
      <x:c r="K43" s="19" t="n">
        <x:f>IF(H43="","",ROUND(INDEX(Setup!$G$11:$G$13,MATCH(E43,Setup!$A$11:$A$13,0))*H43/Setup!$B$4,0)*Setup!$B$4)</x:f>
        <x:v>62.5</x:v>
      </x:c>
      <x:c r="L43" s="16" t="str"/>
    </x:row>
    <x:row r="44">
      <x:c r="A44" s="16" t="n">
        <x:v>1</x:v>
      </x:c>
      <x:c r="B44" s="16" t="n">
        <x:v>4</x:v>
      </x:c>
      <x:c r="C44" s="16" t="str">
        <x:v>Deload</x:v>
      </x:c>
      <x:c r="D44" s="16" t="str">
        <x:v>Wed</x:v>
      </x:c>
      <x:c r="E44" s="16" t="str">
        <x:v>Bench</x:v>
      </x:c>
      <x:c r="F44" s="16" t="str">
        <x:v>Main</x:v>
      </x:c>
      <x:c r="G44" s="16" t="n">
        <x:v>1</x:v>
      </x:c>
      <x:c r="H44" s="21" t="n">
        <x:v>0.4</x:v>
      </x:c>
      <x:c r="I44" s="16" t="str">
        <x:v>5</x:v>
      </x:c>
      <x:c r="J44" s="16" t="n">
        <x:v>1</x:v>
      </x:c>
      <x:c r="K44" s="19" t="n">
        <x:f>IF(H44="","",ROUND(INDEX(Setup!$G$11:$G$13,MATCH(E44,Setup!$A$11:$A$13,0))*H44/Setup!$B$4,0)*Setup!$B$4)</x:f>
        <x:v>35</x:v>
      </x:c>
      <x:c r="L44" s="16" t="str"/>
    </x:row>
    <x:row r="45">
      <x:c r="A45" s="16" t="n">
        <x:v>1</x:v>
      </x:c>
      <x:c r="B45" s="16" t="n">
        <x:v>4</x:v>
      </x:c>
      <x:c r="C45" s="16" t="str">
        <x:v>Deload</x:v>
      </x:c>
      <x:c r="D45" s="16" t="str">
        <x:v>Wed</x:v>
      </x:c>
      <x:c r="E45" s="16" t="str">
        <x:v>Bench</x:v>
      </x:c>
      <x:c r="F45" s="16" t="str">
        <x:v>Main</x:v>
      </x:c>
      <x:c r="G45" s="16" t="n">
        <x:v>2</x:v>
      </x:c>
      <x:c r="H45" s="21" t="n">
        <x:v>0.5</x:v>
      </x:c>
      <x:c r="I45" s="16" t="str">
        <x:v>5</x:v>
      </x:c>
      <x:c r="J45" s="16" t="n">
        <x:v>1</x:v>
      </x:c>
      <x:c r="K45" s="19" t="n">
        <x:f>IF(H45="","",ROUND(INDEX(Setup!$G$11:$G$13,MATCH(E45,Setup!$A$11:$A$13,0))*H45/Setup!$B$4,0)*Setup!$B$4)</x:f>
        <x:v>42.5</x:v>
      </x:c>
      <x:c r="L45" s="16" t="str"/>
    </x:row>
    <x:row r="46">
      <x:c r="A46" s="16" t="n">
        <x:v>1</x:v>
      </x:c>
      <x:c r="B46" s="16" t="n">
        <x:v>4</x:v>
      </x:c>
      <x:c r="C46" s="16" t="str">
        <x:v>Deload</x:v>
      </x:c>
      <x:c r="D46" s="16" t="str">
        <x:v>Wed</x:v>
      </x:c>
      <x:c r="E46" s="16" t="str">
        <x:v>Bench</x:v>
      </x:c>
      <x:c r="F46" s="16" t="str">
        <x:v>Main</x:v>
      </x:c>
      <x:c r="G46" s="16" t="n">
        <x:v>3</x:v>
      </x:c>
      <x:c r="H46" s="21" t="n">
        <x:v>0.6</x:v>
      </x:c>
      <x:c r="I46" s="16" t="str">
        <x:v>5</x:v>
      </x:c>
      <x:c r="J46" s="16" t="n">
        <x:v>1</x:v>
      </x:c>
      <x:c r="K46" s="19" t="n">
        <x:f>IF(H46="","",ROUND(INDEX(Setup!$G$11:$G$13,MATCH(E46,Setup!$A$11:$A$13,0))*H46/Setup!$B$4,0)*Setup!$B$4)</x:f>
        <x:v>50</x:v>
      </x:c>
      <x:c r="L46" s="16" t="str"/>
    </x:row>
    <x:row r="47">
      <x:c r="A47" s="16" t="n">
        <x:v>1</x:v>
      </x:c>
      <x:c r="B47" s="16" t="n">
        <x:v>4</x:v>
      </x:c>
      <x:c r="C47" s="16" t="str">
        <x:v>Deload</x:v>
      </x:c>
      <x:c r="D47" s="16" t="str">
        <x:v>Fri</x:v>
      </x:c>
      <x:c r="E47" s="16" t="str">
        <x:v>Deadlift</x:v>
      </x:c>
      <x:c r="F47" s="16" t="str">
        <x:v>Main</x:v>
      </x:c>
      <x:c r="G47" s="16" t="n">
        <x:v>1</x:v>
      </x:c>
      <x:c r="H47" s="21" t="n">
        <x:v>0.4</x:v>
      </x:c>
      <x:c r="I47" s="16" t="str">
        <x:v>5</x:v>
      </x:c>
      <x:c r="J47" s="16" t="n">
        <x:v>1</x:v>
      </x:c>
      <x:c r="K47" s="19" t="n">
        <x:f>IF(H47="","",ROUND(INDEX(Setup!$G$11:$G$13,MATCH(E47,Setup!$A$11:$A$13,0))*H47/Setup!$B$4,0)*Setup!$B$4)</x:f>
        <x:v>75</x:v>
      </x:c>
      <x:c r="L47" s="16" t="str"/>
    </x:row>
    <x:row r="48">
      <x:c r="A48" s="16" t="n">
        <x:v>1</x:v>
      </x:c>
      <x:c r="B48" s="16" t="n">
        <x:v>4</x:v>
      </x:c>
      <x:c r="C48" s="16" t="str">
        <x:v>Deload</x:v>
      </x:c>
      <x:c r="D48" s="16" t="str">
        <x:v>Fri</x:v>
      </x:c>
      <x:c r="E48" s="16" t="str">
        <x:v>Deadlift</x:v>
      </x:c>
      <x:c r="F48" s="16" t="str">
        <x:v>Main</x:v>
      </x:c>
      <x:c r="G48" s="16" t="n">
        <x:v>2</x:v>
      </x:c>
      <x:c r="H48" s="21" t="n">
        <x:v>0.5</x:v>
      </x:c>
      <x:c r="I48" s="16" t="str">
        <x:v>5</x:v>
      </x:c>
      <x:c r="J48" s="16" t="n">
        <x:v>1</x:v>
      </x:c>
      <x:c r="K48" s="19" t="n">
        <x:f>IF(H48="","",ROUND(INDEX(Setup!$G$11:$G$13,MATCH(E48,Setup!$A$11:$A$13,0))*H48/Setup!$B$4,0)*Setup!$B$4)</x:f>
        <x:v>95</x:v>
      </x:c>
      <x:c r="L48" s="16" t="str"/>
    </x:row>
    <x:row r="49">
      <x:c r="A49" s="16" t="n">
        <x:v>1</x:v>
      </x:c>
      <x:c r="B49" s="16" t="n">
        <x:v>4</x:v>
      </x:c>
      <x:c r="C49" s="16" t="str">
        <x:v>Deload</x:v>
      </x:c>
      <x:c r="D49" s="16" t="str">
        <x:v>Fri</x:v>
      </x:c>
      <x:c r="E49" s="16" t="str">
        <x:v>Deadlift</x:v>
      </x:c>
      <x:c r="F49" s="16" t="str">
        <x:v>Main</x:v>
      </x:c>
      <x:c r="G49" s="16" t="n">
        <x:v>3</x:v>
      </x:c>
      <x:c r="H49" s="21" t="n">
        <x:v>0.6</x:v>
      </x:c>
      <x:c r="I49" s="16" t="str">
        <x:v>5</x:v>
      </x:c>
      <x:c r="J49" s="16" t="n">
        <x:v>1</x:v>
      </x:c>
      <x:c r="K49" s="19" t="n">
        <x:f>IF(H49="","",ROUND(INDEX(Setup!$G$11:$G$13,MATCH(E49,Setup!$A$11:$A$13,0))*H49/Setup!$B$4,0)*Setup!$B$4)</x:f>
        <x:v>115</x:v>
      </x:c>
      <x:c r="L49" s="16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3a77c4fee2f45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.6299991607666" hidden="0" customWidth="1"/>
    <x:col min="3" max="3" width="26.25" hidden="0" customWidth="1"/>
    <x:col min="4" max="4" width="8.130000114440918" hidden="0" customWidth="1"/>
    <x:col min="5" max="5" width="9.380000114440918" hidden="0" customWidth="1"/>
    <x:col min="6" max="6" width="10" hidden="0" customWidth="1"/>
    <x:col min="7" max="7" width="10" hidden="0" customWidth="1"/>
    <x:col min="8" max="8" width="11.25" hidden="0" customWidth="1"/>
    <x:col min="9" max="9" width="47.5" hidden="0" customWidth="1"/>
  </x:cols>
  <x:sheetData>
    <x:row r="1" ht="25.5" customHeight="1">
      <x:c r="A1" s="3" t="str">
        <x:v>Accessory Configuration</x:v>
      </x:c>
      <x:c r="B1" s="3" t="str">
        <x:v>Accessory Configuration</x:v>
      </x:c>
      <x:c r="C1" s="3" t="str">
        <x:v>Accessory Configuration</x:v>
      </x:c>
      <x:c r="D1" s="3" t="str">
        <x:v>Accessory Configuration</x:v>
      </x:c>
      <x:c r="E1" s="3" t="str">
        <x:v>Accessory Configuration</x:v>
      </x:c>
      <x:c r="F1" s="3" t="str">
        <x:v>Accessory Configuration</x:v>
      </x:c>
      <x:c r="G1" s="3" t="str">
        <x:v>Accessory Configuration</x:v>
      </x:c>
      <x:c r="H1" s="3" t="str">
        <x:v>Accessory Configuration</x:v>
      </x:c>
      <x:c r="I1" s="3" t="str">
        <x:v>Accessory Configuration</x:v>
      </x:c>
    </x:row>
    <x:row r="3">
      <x:c r="A3" s="38" t="str">
        <x:v>Edit default exercises, set/rep targets, rest, and swap notes here. Accessory_Log looks up targets from the Slot column.</x:v>
      </x:c>
      <x:c r="B3" s="38" t="str">
        <x:v>Edit default exercises, set/rep targets, rest, and swap notes here. Accessory_Log looks up targets from the Slot column.</x:v>
      </x:c>
      <x:c r="C3" s="38" t="str">
        <x:v>Edit default exercises, set/rep targets, rest, and swap notes here. Accessory_Log looks up targets from the Slot column.</x:v>
      </x:c>
      <x:c r="D3" s="38" t="str">
        <x:v>Edit default exercises, set/rep targets, rest, and swap notes here. Accessory_Log looks up targets from the Slot column.</x:v>
      </x:c>
      <x:c r="E3" s="38" t="str">
        <x:v>Edit default exercises, set/rep targets, rest, and swap notes here. Accessory_Log looks up targets from the Slot column.</x:v>
      </x:c>
      <x:c r="F3" s="38" t="str">
        <x:v>Edit default exercises, set/rep targets, rest, and swap notes here. Accessory_Log looks up targets from the Slot column.</x:v>
      </x:c>
      <x:c r="G3" s="38" t="str">
        <x:v>Edit default exercises, set/rep targets, rest, and swap notes here. Accessory_Log looks up targets from the Slot column.</x:v>
      </x:c>
      <x:c r="H3" s="38" t="str">
        <x:v>Edit default exercises, set/rep targets, rest, and swap notes here. Accessory_Log looks up targets from the Slot column.</x:v>
      </x:c>
      <x:c r="I3" s="38" t="str">
        <x:v>Edit default exercises, set/rep targets, rest, and swap notes here. Accessory_Log looks up targets from the Slot column.</x:v>
      </x:c>
    </x:row>
    <x:row r="5">
      <x:c r="A5" s="13" t="str">
        <x:v>Session</x:v>
      </x:c>
      <x:c r="B5" s="13" t="str">
        <x:v>Slot</x:v>
      </x:c>
      <x:c r="C5" s="13" t="str">
        <x:v>Default Exercise</x:v>
      </x:c>
      <x:c r="D5" s="13" t="str">
        <x:v>Sets</x:v>
      </x:c>
      <x:c r="E5" s="13" t="str">
        <x:v>Rep Low</x:v>
      </x:c>
      <x:c r="F5" s="13" t="str">
        <x:v>Rep High</x:v>
      </x:c>
      <x:c r="G5" s="13" t="str">
        <x:v>Rest Sec</x:v>
      </x:c>
      <x:c r="H5" s="13" t="str">
        <x:v>Increment kg</x:v>
      </x:c>
      <x:c r="I5" s="13" t="str">
        <x:v>Swap Pool / Notes</x:v>
      </x:c>
    </x:row>
    <x:row r="6">
      <x:c r="A6" s="16" t="str">
        <x:v>Squat</x:v>
      </x:c>
      <x:c r="B6" s="16" t="str">
        <x:v>Quad volume</x:v>
      </x:c>
      <x:c r="C6" s="17" t="str">
        <x:v>Leg press</x:v>
      </x:c>
      <x:c r="D6" s="17" t="n">
        <x:v>3</x:v>
      </x:c>
      <x:c r="E6" s="17" t="n">
        <x:v>10</x:v>
      </x:c>
      <x:c r="F6" s="17" t="n">
        <x:v>12</x:v>
      </x:c>
      <x:c r="G6" s="17" t="n">
        <x:v>90</x:v>
      </x:c>
      <x:c r="H6" s="17" t="n">
        <x:v>2.5</x:v>
      </x:c>
      <x:c r="I6" s="20" t="str">
        <x:v>Bulgarian split squat; Hack squat</x:v>
      </x:c>
    </x:row>
    <x:row r="7">
      <x:c r="A7" s="16" t="str">
        <x:v>Squat</x:v>
      </x:c>
      <x:c r="B7" s="16" t="str">
        <x:v>Hamstring support</x:v>
      </x:c>
      <x:c r="C7" s="17" t="str">
        <x:v>Lying / seated leg curl</x:v>
      </x:c>
      <x:c r="D7" s="17" t="n">
        <x:v>3</x:v>
      </x:c>
      <x:c r="E7" s="17" t="n">
        <x:v>12</x:v>
      </x:c>
      <x:c r="F7" s="17" t="n">
        <x:v>15</x:v>
      </x:c>
      <x:c r="G7" s="17" t="n">
        <x:v>75</x:v>
      </x:c>
      <x:c r="H7" s="17" t="n">
        <x:v>2.5</x:v>
      </x:c>
      <x:c r="I7" s="20" t="str">
        <x:v>Assisted Nordic curl</x:v>
      </x:c>
    </x:row>
    <x:row r="8">
      <x:c r="A8" s="16" t="str">
        <x:v>Squat</x:v>
      </x:c>
      <x:c r="B8" s="16" t="str">
        <x:v>Pressing support</x:v>
      </x:c>
      <x:c r="C8" s="17" t="str">
        <x:v>Triceps pushdown</x:v>
      </x:c>
      <x:c r="D8" s="17" t="n">
        <x:v>3</x:v>
      </x:c>
      <x:c r="E8" s="17" t="n">
        <x:v>12</x:v>
      </x:c>
      <x:c r="F8" s="17" t="n">
        <x:v>15</x:v>
      </x:c>
      <x:c r="G8" s="17" t="n">
        <x:v>60</x:v>
      </x:c>
      <x:c r="H8" s="17" t="n">
        <x:v>2.5</x:v>
      </x:c>
      <x:c r="I8" s="20" t="str">
        <x:v>Rope overhead extension if shoulder calm</x:v>
      </x:c>
    </x:row>
    <x:row r="9">
      <x:c r="A9" s="16" t="str">
        <x:v>Squat</x:v>
      </x:c>
      <x:c r="B9" s="16" t="str">
        <x:v>Core</x:v>
      </x:c>
      <x:c r="C9" s="17" t="str">
        <x:v>Hanging leg raise</x:v>
      </x:c>
      <x:c r="D9" s="17" t="n">
        <x:v>3</x:v>
      </x:c>
      <x:c r="E9" s="17" t="n">
        <x:v>10</x:v>
      </x:c>
      <x:c r="F9" s="17" t="n">
        <x:v>15</x:v>
      </x:c>
      <x:c r="G9" s="17" t="n">
        <x:v>60</x:v>
      </x:c>
      <x:c r="H9" s="17" t="n">
        <x:v>2.5</x:v>
      </x:c>
      <x:c r="I9" s="20" t="str">
        <x:v>Ab wheel; Plank</x:v>
      </x:c>
    </x:row>
    <x:row r="10">
      <x:c r="A10" s="16" t="str">
        <x:v>Bench</x:v>
      </x:c>
      <x:c r="B10" s="16" t="str">
        <x:v>Heavy row</x:v>
      </x:c>
      <x:c r="C10" s="17" t="str">
        <x:v>Chest-supported row</x:v>
      </x:c>
      <x:c r="D10" s="17" t="n">
        <x:v>4</x:v>
      </x:c>
      <x:c r="E10" s="17" t="n">
        <x:v>8</x:v>
      </x:c>
      <x:c r="F10" s="17" t="n">
        <x:v>12</x:v>
      </x:c>
      <x:c r="G10" s="17" t="n">
        <x:v>90</x:v>
      </x:c>
      <x:c r="H10" s="17" t="n">
        <x:v>2.5</x:v>
      </x:c>
      <x:c r="I10" s="20" t="str">
        <x:v>Seal row; DB row</x:v>
      </x:c>
    </x:row>
    <x:row r="11">
      <x:c r="A11" s="16" t="str">
        <x:v>Bench</x:v>
      </x:c>
      <x:c r="B11" s="16" t="str">
        <x:v>Vertical pull</x:v>
      </x:c>
      <x:c r="C11" s="17" t="str">
        <x:v>Neutral-grip lat pulldown</x:v>
      </x:c>
      <x:c r="D11" s="17" t="n">
        <x:v>3</x:v>
      </x:c>
      <x:c r="E11" s="17" t="n">
        <x:v>10</x:v>
      </x:c>
      <x:c r="F11" s="17" t="n">
        <x:v>12</x:v>
      </x:c>
      <x:c r="G11" s="17" t="n">
        <x:v>75</x:v>
      </x:c>
      <x:c r="H11" s="17" t="n">
        <x:v>2.5</x:v>
      </x:c>
      <x:c r="I11" s="20" t="str">
        <x:v>Assisted pull-up</x:v>
      </x:c>
    </x:row>
    <x:row r="12">
      <x:c r="A12" s="16" t="str">
        <x:v>Bench</x:v>
      </x:c>
      <x:c r="B12" s="16" t="str">
        <x:v>Optional press</x:v>
      </x:c>
      <x:c r="C12" s="17" t="str">
        <x:v>Incline DB press neutral grip</x:v>
      </x:c>
      <x:c r="D12" s="17" t="n">
        <x:v>3</x:v>
      </x:c>
      <x:c r="E12" s="17" t="n">
        <x:v>8</x:v>
      </x:c>
      <x:c r="F12" s="17" t="n">
        <x:v>12</x:v>
      </x:c>
      <x:c r="G12" s="17" t="n">
        <x:v>90</x:v>
      </x:c>
      <x:c r="H12" s="17" t="n">
        <x:v>2.5</x:v>
      </x:c>
      <x:c r="I12" s="20" t="str">
        <x:v>Only if pain-free; Machine press; Push-up handles</x:v>
      </x:c>
    </x:row>
    <x:row r="13">
      <x:c r="A13" s="16" t="str">
        <x:v>Bench</x:v>
      </x:c>
      <x:c r="B13" s="16" t="str">
        <x:v>Arm balance</x:v>
      </x:c>
      <x:c r="C13" s="17" t="str">
        <x:v>DB hammer curl</x:v>
      </x:c>
      <x:c r="D13" s="17" t="n">
        <x:v>3</x:v>
      </x:c>
      <x:c r="E13" s="17" t="n">
        <x:v>12</x:v>
      </x:c>
      <x:c r="F13" s="17" t="n">
        <x:v>12</x:v>
      </x:c>
      <x:c r="G13" s="17" t="n">
        <x:v>60</x:v>
      </x:c>
      <x:c r="H13" s="17" t="n">
        <x:v>2.5</x:v>
      </x:c>
      <x:c r="I13" s="20" t="str">
        <x:v>Cable curl</x:v>
      </x:c>
    </x:row>
    <x:row r="14">
      <x:c r="A14" s="16" t="str">
        <x:v>Bench</x:v>
      </x:c>
      <x:c r="B14" s="16" t="str">
        <x:v>Shoulder prehab</x:v>
      </x:c>
      <x:c r="C14" s="17" t="str">
        <x:v>Face pulls + band external rotation</x:v>
      </x:c>
      <x:c r="D14" s="17" t="n">
        <x:v>4</x:v>
      </x:c>
      <x:c r="E14" s="17" t="n">
        <x:v>15</x:v>
      </x:c>
      <x:c r="F14" s="17" t="n">
        <x:v>20</x:v>
      </x:c>
      <x:c r="G14" s="17" t="n">
        <x:v>45</x:v>
      </x:c>
      <x:c r="H14" s="17" t="n">
        <x:v>2.5</x:v>
      </x:c>
      <x:c r="I14" s="20" t="str">
        <x:v>Band pull-apart</x:v>
      </x:c>
    </x:row>
    <x:row r="15">
      <x:c r="A15" s="16" t="str">
        <x:v>Assist</x:v>
      </x:c>
      <x:c r="B15" s="16" t="str">
        <x:v>Technique squat</x:v>
      </x:c>
      <x:c r="C15" s="17" t="str">
        <x:v>Paused squat technique</x:v>
      </x:c>
      <x:c r="D15" s="17" t="n">
        <x:v>3</x:v>
      </x:c>
      <x:c r="E15" s="17" t="n">
        <x:v>3</x:v>
      </x:c>
      <x:c r="F15" s="17" t="n">
        <x:v>3</x:v>
      </x:c>
      <x:c r="G15" s="17" t="n">
        <x:v>90</x:v>
      </x:c>
      <x:c r="H15" s="17" t="n">
        <x:v>0</x:v>
      </x:c>
      <x:c r="I15" s="20" t="str">
        <x:v>Light crisp triples only; no grinding</x:v>
      </x:c>
    </x:row>
    <x:row r="16">
      <x:c r="A16" s="16" t="str">
        <x:v>Assist</x:v>
      </x:c>
      <x:c r="B16" s="16" t="str">
        <x:v>Upper back volume</x:v>
      </x:c>
      <x:c r="C16" s="17" t="str">
        <x:v>Chest-supported row</x:v>
      </x:c>
      <x:c r="D16" s="17" t="n">
        <x:v>4</x:v>
      </x:c>
      <x:c r="E16" s="17" t="n">
        <x:v>10</x:v>
      </x:c>
      <x:c r="F16" s="17" t="n">
        <x:v>12</x:v>
      </x:c>
      <x:c r="G16" s="17" t="n">
        <x:v>75</x:v>
      </x:c>
      <x:c r="H16" s="17" t="n">
        <x:v>2.5</x:v>
      </x:c>
      <x:c r="I16" s="20" t="str">
        <x:v>Seal row; DB row</x:v>
      </x:c>
    </x:row>
    <x:row r="17">
      <x:c r="A17" s="16" t="str">
        <x:v>Assist</x:v>
      </x:c>
      <x:c r="B17" s="16" t="str">
        <x:v>Lat volume</x:v>
      </x:c>
      <x:c r="C17" s="17" t="str">
        <x:v>Neutral-grip lat pulldown</x:v>
      </x:c>
      <x:c r="D17" s="17" t="n">
        <x:v>3</x:v>
      </x:c>
      <x:c r="E17" s="17" t="n">
        <x:v>10</x:v>
      </x:c>
      <x:c r="F17" s="17" t="n">
        <x:v>12</x:v>
      </x:c>
      <x:c r="G17" s="17" t="n">
        <x:v>75</x:v>
      </x:c>
      <x:c r="H17" s="17" t="n">
        <x:v>2.5</x:v>
      </x:c>
      <x:c r="I17" s="20" t="str">
        <x:v>Assisted pull-up</x:v>
      </x:c>
    </x:row>
    <x:row r="18">
      <x:c r="A18" s="16" t="str">
        <x:v>Assist</x:v>
      </x:c>
      <x:c r="B18" s="16" t="str">
        <x:v>Shoulder-safe press</x:v>
      </x:c>
      <x:c r="C18" s="17" t="str">
        <x:v>DB floor press</x:v>
      </x:c>
      <x:c r="D18" s="17" t="n">
        <x:v>3</x:v>
      </x:c>
      <x:c r="E18" s="17" t="n">
        <x:v>8</x:v>
      </x:c>
      <x:c r="F18" s="17" t="n">
        <x:v>12</x:v>
      </x:c>
      <x:c r="G18" s="17" t="n">
        <x:v>75</x:v>
      </x:c>
      <x:c r="H18" s="17" t="n">
        <x:v>2.5</x:v>
      </x:c>
      <x:c r="I18" s="20" t="str">
        <x:v>Optional if shoulder is calm; Push-up handles; Machine press</x:v>
      </x:c>
    </x:row>
    <x:row r="19">
      <x:c r="A19" s="16" t="str">
        <x:v>Assist</x:v>
      </x:c>
      <x:c r="B19" s="16" t="str">
        <x:v>Prehab + core</x:v>
      </x:c>
      <x:c r="C19" s="17" t="str">
        <x:v>Face pulls + band external rotation</x:v>
      </x:c>
      <x:c r="D19" s="17" t="n">
        <x:v>3</x:v>
      </x:c>
      <x:c r="E19" s="17" t="n">
        <x:v>15</x:v>
      </x:c>
      <x:c r="F19" s="17" t="n">
        <x:v>20</x:v>
      </x:c>
      <x:c r="G19" s="17" t="n">
        <x:v>45</x:v>
      </x:c>
      <x:c r="H19" s="17" t="n">
        <x:v>2.5</x:v>
      </x:c>
      <x:c r="I19" s="20" t="str">
        <x:v>Band pull-apart; Plank</x:v>
      </x:c>
    </x:row>
    <x:row r="20">
      <x:c r="A20" s="16" t="str">
        <x:v>Deadlift</x:v>
      </x:c>
      <x:c r="B20" s="16" t="str">
        <x:v>Posterior chain</x:v>
      </x:c>
      <x:c r="C20" s="17" t="str">
        <x:v>Romanian deadlift</x:v>
      </x:c>
      <x:c r="D20" s="17" t="n">
        <x:v>3</x:v>
      </x:c>
      <x:c r="E20" s="17" t="n">
        <x:v>8</x:v>
      </x:c>
      <x:c r="F20" s="17" t="n">
        <x:v>10</x:v>
      </x:c>
      <x:c r="G20" s="17" t="n">
        <x:v>120</x:v>
      </x:c>
      <x:c r="H20" s="17" t="n">
        <x:v>2.5</x:v>
      </x:c>
      <x:c r="I20" s="20" t="str">
        <x:v>Back extension; Hip thrust</x:v>
      </x:c>
    </x:row>
    <x:row r="21">
      <x:c r="A21" s="16" t="str">
        <x:v>Deadlift</x:v>
      </x:c>
      <x:c r="B21" s="16" t="str">
        <x:v>Back extension</x:v>
      </x:c>
      <x:c r="C21" s="17" t="str">
        <x:v>45 degree back extension</x:v>
      </x:c>
      <x:c r="D21" s="17" t="n">
        <x:v>3</x:v>
      </x:c>
      <x:c r="E21" s="17" t="n">
        <x:v>12</x:v>
      </x:c>
      <x:c r="F21" s="17" t="n">
        <x:v>15</x:v>
      </x:c>
      <x:c r="G21" s="17" t="n">
        <x:v>90</x:v>
      </x:c>
      <x:c r="H21" s="17" t="n">
        <x:v>2.5</x:v>
      </x:c>
      <x:c r="I21" s="20" t="str">
        <x:v>Hip thrust</x:v>
      </x:c>
    </x:row>
    <x:row r="22">
      <x:c r="A22" s="16" t="str">
        <x:v>Deadlift</x:v>
      </x:c>
      <x:c r="B22" s="16" t="str">
        <x:v>Row</x:v>
      </x:c>
      <x:c r="C22" s="17" t="str">
        <x:v>DB row</x:v>
      </x:c>
      <x:c r="D22" s="17" t="n">
        <x:v>3</x:v>
      </x:c>
      <x:c r="E22" s="17" t="n">
        <x:v>10</x:v>
      </x:c>
      <x:c r="F22" s="17" t="n">
        <x:v>10</x:v>
      </x:c>
      <x:c r="G22" s="17" t="n">
        <x:v>75</x:v>
      </x:c>
      <x:c r="H22" s="17" t="n">
        <x:v>2.5</x:v>
      </x:c>
      <x:c r="I22" s="20" t="str">
        <x:v>Chest-supported row; Seal row</x:v>
      </x:c>
    </x:row>
    <x:row r="23">
      <x:c r="A23" s="16" t="str">
        <x:v>Deadlift</x:v>
      </x:c>
      <x:c r="B23" s="16" t="str">
        <x:v>Core</x:v>
      </x:c>
      <x:c r="C23" s="17" t="str">
        <x:v>Cable crunch</x:v>
      </x:c>
      <x:c r="D23" s="17" t="n">
        <x:v>3</x:v>
      </x:c>
      <x:c r="E23" s="17" t="n">
        <x:v>10</x:v>
      </x:c>
      <x:c r="F23" s="17" t="n">
        <x:v>15</x:v>
      </x:c>
      <x:c r="G23" s="17" t="n">
        <x:v>60</x:v>
      </x:c>
      <x:c r="H23" s="17" t="n">
        <x:v>2.5</x:v>
      </x:c>
      <x:c r="I23" s="20" t="str">
        <x:v>Plank; Ab wheel</x:v>
      </x:c>
    </x:row>
  </x:sheetData>
  <x:mergeCells>
    <x:mergeCell ref="A1:I1"/>
    <x:mergeCell ref="A3:I3"/>
  </x:mergeCells>
  <x:pageMargins left="0.7" right="0.7" top="0.75" bottom="0.75" header="0.3" footer="0.3"/>
  <x:tableParts count="1">
    <x:tablePart xmlns:r="http://schemas.openxmlformats.org/officeDocument/2006/relationships" r:id="R457ec2809b9548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0.630000114440918" hidden="0" customWidth="1"/>
    <x:col min="3" max="3" width="20" hidden="0" customWidth="1"/>
    <x:col min="4" max="4" width="23.75" hidden="0" customWidth="1"/>
    <x:col min="5" max="5" width="10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9.380000114440918" hidden="0" customWidth="1"/>
    <x:col min="10" max="10" width="9.380000114440918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  <x:col min="14" max="14" width="11.880000114440918" hidden="0" customWidth="1"/>
    <x:col min="15" max="15" width="14.380000114440918" hidden="0" customWidth="1"/>
    <x:col min="16" max="16" width="14.380000114440918" hidden="0" customWidth="1"/>
    <x:col min="17" max="17" width="35" hidden="0" customWidth="1"/>
  </x:cols>
  <x:sheetData>
    <x:row r="1" ht="25.5" customHeight="1">
      <x:c r="A1" s="3" t="str">
        <x:v>Accessory Log</x:v>
      </x:c>
      <x:c r="B1" s="3" t="str">
        <x:v>Accessory Log</x:v>
      </x:c>
      <x:c r="C1" s="3" t="str">
        <x:v>Accessory Log</x:v>
      </x:c>
      <x:c r="D1" s="3" t="str">
        <x:v>Accessory Log</x:v>
      </x:c>
      <x:c r="E1" s="3" t="str">
        <x:v>Accessory Log</x:v>
      </x:c>
      <x:c r="F1" s="3" t="str">
        <x:v>Accessory Log</x:v>
      </x:c>
      <x:c r="G1" s="3" t="str">
        <x:v>Accessory Log</x:v>
      </x:c>
      <x:c r="H1" s="3" t="str">
        <x:v>Accessory Log</x:v>
      </x:c>
      <x:c r="I1" s="3" t="str">
        <x:v>Accessory Log</x:v>
      </x:c>
      <x:c r="J1" s="3" t="str">
        <x:v>Accessory Log</x:v>
      </x:c>
      <x:c r="K1" s="3" t="str">
        <x:v>Accessory Log</x:v>
      </x:c>
      <x:c r="L1" s="3" t="str">
        <x:v>Accessory Log</x:v>
      </x:c>
      <x:c r="M1" s="3" t="str">
        <x:v>Accessory Log</x:v>
      </x:c>
      <x:c r="N1" s="3" t="str">
        <x:v>Accessory Log</x:v>
      </x:c>
      <x:c r="O1" s="3" t="str">
        <x:v>Accessory Log</x:v>
      </x:c>
      <x:c r="P1" s="3" t="str">
        <x:v>Accessory Log</x:v>
      </x:c>
      <x:c r="Q1" s="3" t="str">
        <x:v>Accessory Log</x:v>
      </x:c>
    </x:row>
    <x:row r="3">
      <x:c r="A3" s="38" t="str">
        <x:v>Log accessories here. If all required sets hit the top of the rep range with RIR &gt;= 2, Suggested Next Weight adds the configured increment.</x:v>
      </x:c>
      <x:c r="B3" s="38" t="str">
        <x:v>Log accessories here. If all required sets hit the top of the rep range with RIR &gt;= 2, Suggested Next Weight adds the configured increment.</x:v>
      </x:c>
      <x:c r="C3" s="38" t="str">
        <x:v>Log accessories here. If all required sets hit the top of the rep range with RIR &gt;= 2, Suggested Next Weight adds the configured increment.</x:v>
      </x:c>
      <x:c r="D3" s="38" t="str">
        <x:v>Log accessories here. If all required sets hit the top of the rep range with RIR &gt;= 2, Suggested Next Weight adds the configured increment.</x:v>
      </x:c>
      <x:c r="E3" s="38" t="str">
        <x:v>Log accessories here. If all required sets hit the top of the rep range with RIR &gt;= 2, Suggested Next Weight adds the configured increment.</x:v>
      </x:c>
      <x:c r="F3" s="38" t="str">
        <x:v>Log accessories here. If all required sets hit the top of the rep range with RIR &gt;= 2, Suggested Next Weight adds the configured increment.</x:v>
      </x:c>
      <x:c r="G3" s="38" t="str">
        <x:v>Log accessories here. If all required sets hit the top of the rep range with RIR &gt;= 2, Suggested Next Weight adds the configured increment.</x:v>
      </x:c>
      <x:c r="H3" s="38" t="str">
        <x:v>Log accessories here. If all required sets hit the top of the rep range with RIR &gt;= 2, Suggested Next Weight adds the configured increment.</x:v>
      </x:c>
      <x:c r="I3" s="38" t="str">
        <x:v>Log accessories here. If all required sets hit the top of the rep range with RIR &gt;= 2, Suggested Next Weight adds the configured increment.</x:v>
      </x:c>
      <x:c r="J3" s="38" t="str">
        <x:v>Log accessories here. If all required sets hit the top of the rep range with RIR &gt;= 2, Suggested Next Weight adds the configured increment.</x:v>
      </x:c>
      <x:c r="K3" s="38" t="str">
        <x:v>Log accessories here. If all required sets hit the top of the rep range with RIR &gt;= 2, Suggested Next Weight adds the configured increment.</x:v>
      </x:c>
      <x:c r="L3" s="38" t="str">
        <x:v>Log accessories here. If all required sets hit the top of the rep range with RIR &gt;= 2, Suggested Next Weight adds the configured increment.</x:v>
      </x:c>
      <x:c r="M3" s="38" t="str">
        <x:v>Log accessories here. If all required sets hit the top of the rep range with RIR &gt;= 2, Suggested Next Weight adds the configured increment.</x:v>
      </x:c>
      <x:c r="N3" s="38" t="str">
        <x:v>Log accessories here. If all required sets hit the top of the rep range with RIR &gt;= 2, Suggested Next Weight adds the configured increment.</x:v>
      </x:c>
      <x:c r="O3" s="38" t="str">
        <x:v>Log accessories here. If all required sets hit the top of the rep range with RIR &gt;= 2, Suggested Next Weight adds the configured increment.</x:v>
      </x:c>
      <x:c r="P3" s="38" t="str">
        <x:v>Log accessories here. If all required sets hit the top of the rep range with RIR &gt;= 2, Suggested Next Weight adds the configured increment.</x:v>
      </x:c>
      <x:c r="Q3" s="38" t="str">
        <x:v>Log accessories here. If all required sets hit the top of the rep range with RIR &gt;= 2, Suggested Next Weight adds the configured increment.</x:v>
      </x:c>
    </x:row>
    <x:row r="5">
      <x:c r="A5" s="13" t="str">
        <x:v>Date</x:v>
      </x:c>
      <x:c r="B5" s="13" t="str">
        <x:v>Session</x:v>
      </x:c>
      <x:c r="C5" s="13" t="str">
        <x:v>Slot</x:v>
      </x:c>
      <x:c r="D5" s="13" t="str">
        <x:v>Exercise</x:v>
      </x:c>
      <x:c r="E5" s="13" t="str">
        <x:v>Weight</x:v>
      </x:c>
      <x:c r="F5" s="13" t="str">
        <x:v>Set1 Reps</x:v>
      </x:c>
      <x:c r="G5" s="13" t="str">
        <x:v>Set1 RIR</x:v>
      </x:c>
      <x:c r="H5" s="13" t="str">
        <x:v>Set2 Reps</x:v>
      </x:c>
      <x:c r="I5" s="13" t="str">
        <x:v>Set2 RIR</x:v>
      </x:c>
      <x:c r="J5" s="13" t="str">
        <x:v>Set3 Reps</x:v>
      </x:c>
      <x:c r="K5" s="13" t="str">
        <x:v>Set3 RIR</x:v>
      </x:c>
      <x:c r="L5" s="13" t="str">
        <x:v>Set4 Reps</x:v>
      </x:c>
      <x:c r="M5" s="13" t="str">
        <x:v>Set4 RIR</x:v>
      </x:c>
      <x:c r="N5" s="13" t="str">
        <x:v>All Sets Logged?</x:v>
      </x:c>
      <x:c r="O5" s="13" t="str">
        <x:v>Hit Top + Reserve?</x:v>
      </x:c>
      <x:c r="P5" s="13" t="str">
        <x:v>Suggested Next</x:v>
      </x:c>
      <x:c r="Q5" s="13" t="str">
        <x:v>Notes</x:v>
      </x:c>
    </x:row>
    <x:row r="6">
      <x:c r="A6" s="30"/>
      <x:c r="B6" s="17"/>
      <x:c r="C6" s="17"/>
      <x:c r="D6" s="17"/>
      <x:c r="E6" s="31"/>
      <x:c r="F6" s="17"/>
      <x:c r="G6" s="17"/>
      <x:c r="H6" s="17"/>
      <x:c r="I6" s="17"/>
      <x:c r="J6" s="17"/>
      <x:c r="K6" s="17"/>
      <x:c r="L6" s="17"/>
      <x:c r="M6" s="17"/>
      <x:c r="N6" s="16" t="str">
        <x:f>IF(A6="","",COUNT(F6,H6,J6,L6)&gt;=INDEX(Accessory_Config!$D$6:$D$30,MATCH(C6,Accessory_Config!$B$6:$B$30,0)))</x:f>
      </x:c>
      <x:c r="O6" s="16" t="str">
        <x:f>IF(A6="","",AND(N6,MIN(F6,H6,J6,IF(INDEX(Accessory_Config!$D$6:$D$30,MATCH(C6,Accessory_Config!$B$6:$B$30,0))=4,L6,999))&gt;=INDEX(Accessory_Config!$F$6:$F$30,MATCH(C6,Accessory_Config!$B$6:$B$30,0)),MIN(G6,I6,K6,IF(INDEX(Accessory_Config!$D$6:$D$30,MATCH(C6,Accessory_Config!$B$6:$B$30,0))=4,M6,999))&gt;=2))</x:f>
      </x:c>
      <x:c r="P6" s="19" t="str">
        <x:f>IF(A6="","",IF(E6="","",IF(O6,E6+INDEX(Accessory_Config!$H$6:$H$30,MATCH(C6,Accessory_Config!$B$6:$B$30,0)),E6)))</x:f>
      </x:c>
      <x:c r="Q6" s="17"/>
    </x:row>
    <x:row r="7">
      <x:c r="A7" s="30"/>
      <x:c r="B7" s="17"/>
      <x:c r="C7" s="17"/>
      <x:c r="D7" s="17"/>
      <x:c r="E7" s="31"/>
      <x:c r="F7" s="17"/>
      <x:c r="G7" s="17"/>
      <x:c r="H7" s="17"/>
      <x:c r="I7" s="17"/>
      <x:c r="J7" s="17"/>
      <x:c r="K7" s="17"/>
      <x:c r="L7" s="17"/>
      <x:c r="M7" s="17"/>
      <x:c r="N7" s="16" t="str">
        <x:f>IF(A7="","",COUNT(F7,H7,J7,L7)&gt;=INDEX(Accessory_Config!$D$6:$D$30,MATCH(C7,Accessory_Config!$B$6:$B$30,0)))</x:f>
      </x:c>
      <x:c r="O7" s="16" t="str">
        <x:f>IF(A7="","",AND(N7,MIN(F7,H7,J7,IF(INDEX(Accessory_Config!$D$6:$D$30,MATCH(C7,Accessory_Config!$B$6:$B$30,0))=4,L7,999))&gt;=INDEX(Accessory_Config!$F$6:$F$30,MATCH(C7,Accessory_Config!$B$6:$B$30,0)),MIN(G7,I7,K7,IF(INDEX(Accessory_Config!$D$6:$D$30,MATCH(C7,Accessory_Config!$B$6:$B$30,0))=4,M7,999))&gt;=2))</x:f>
      </x:c>
      <x:c r="P7" s="19" t="str">
        <x:f>IF(A7="","",IF(E7="","",IF(O7,E7+INDEX(Accessory_Config!$H$6:$H$30,MATCH(C7,Accessory_Config!$B$6:$B$30,0)),E7)))</x:f>
      </x:c>
      <x:c r="Q7" s="17"/>
    </x:row>
    <x:row r="8">
      <x:c r="A8" s="30"/>
      <x:c r="B8" s="17"/>
      <x:c r="C8" s="17"/>
      <x:c r="D8" s="17"/>
      <x:c r="E8" s="31"/>
      <x:c r="F8" s="17"/>
      <x:c r="G8" s="17"/>
      <x:c r="H8" s="17"/>
      <x:c r="I8" s="17"/>
      <x:c r="J8" s="17"/>
      <x:c r="K8" s="17"/>
      <x:c r="L8" s="17"/>
      <x:c r="M8" s="17"/>
      <x:c r="N8" s="16" t="str">
        <x:f>IF(A8="","",COUNT(F8,H8,J8,L8)&gt;=INDEX(Accessory_Config!$D$6:$D$30,MATCH(C8,Accessory_Config!$B$6:$B$30,0)))</x:f>
      </x:c>
      <x:c r="O8" s="16" t="str">
        <x:f>IF(A8="","",AND(N8,MIN(F8,H8,J8,IF(INDEX(Accessory_Config!$D$6:$D$30,MATCH(C8,Accessory_Config!$B$6:$B$30,0))=4,L8,999))&gt;=INDEX(Accessory_Config!$F$6:$F$30,MATCH(C8,Accessory_Config!$B$6:$B$30,0)),MIN(G8,I8,K8,IF(INDEX(Accessory_Config!$D$6:$D$30,MATCH(C8,Accessory_Config!$B$6:$B$30,0))=4,M8,999))&gt;=2))</x:f>
      </x:c>
      <x:c r="P8" s="19" t="str">
        <x:f>IF(A8="","",IF(E8="","",IF(O8,E8+INDEX(Accessory_Config!$H$6:$H$30,MATCH(C8,Accessory_Config!$B$6:$B$30,0)),E8)))</x:f>
      </x:c>
      <x:c r="Q8" s="17"/>
    </x:row>
    <x:row r="9">
      <x:c r="A9" s="30"/>
      <x:c r="B9" s="17"/>
      <x:c r="C9" s="17"/>
      <x:c r="D9" s="17"/>
      <x:c r="E9" s="31"/>
      <x:c r="F9" s="17"/>
      <x:c r="G9" s="17"/>
      <x:c r="H9" s="17"/>
      <x:c r="I9" s="17"/>
      <x:c r="J9" s="17"/>
      <x:c r="K9" s="17"/>
      <x:c r="L9" s="17"/>
      <x:c r="M9" s="17"/>
      <x:c r="N9" s="16" t="str">
        <x:f>IF(A9="","",COUNT(F9,H9,J9,L9)&gt;=INDEX(Accessory_Config!$D$6:$D$30,MATCH(C9,Accessory_Config!$B$6:$B$30,0)))</x:f>
      </x:c>
      <x:c r="O9" s="16" t="str">
        <x:f>IF(A9="","",AND(N9,MIN(F9,H9,J9,IF(INDEX(Accessory_Config!$D$6:$D$30,MATCH(C9,Accessory_Config!$B$6:$B$30,0))=4,L9,999))&gt;=INDEX(Accessory_Config!$F$6:$F$30,MATCH(C9,Accessory_Config!$B$6:$B$30,0)),MIN(G9,I9,K9,IF(INDEX(Accessory_Config!$D$6:$D$30,MATCH(C9,Accessory_Config!$B$6:$B$30,0))=4,M9,999))&gt;=2))</x:f>
      </x:c>
      <x:c r="P9" s="19" t="str">
        <x:f>IF(A9="","",IF(E9="","",IF(O9,E9+INDEX(Accessory_Config!$H$6:$H$30,MATCH(C9,Accessory_Config!$B$6:$B$30,0)),E9)))</x:f>
      </x:c>
      <x:c r="Q9" s="17"/>
    </x:row>
    <x:row r="10">
      <x:c r="A10" s="30"/>
      <x:c r="B10" s="17"/>
      <x:c r="C10" s="17"/>
      <x:c r="D10" s="17"/>
      <x:c r="E10" s="31"/>
      <x:c r="F10" s="17"/>
      <x:c r="G10" s="17"/>
      <x:c r="H10" s="17"/>
      <x:c r="I10" s="17"/>
      <x:c r="J10" s="17"/>
      <x:c r="K10" s="17"/>
      <x:c r="L10" s="17"/>
      <x:c r="M10" s="17"/>
      <x:c r="N10" s="16" t="str">
        <x:f>IF(A10="","",COUNT(F10,H10,J10,L10)&gt;=INDEX(Accessory_Config!$D$6:$D$30,MATCH(C10,Accessory_Config!$B$6:$B$30,0)))</x:f>
      </x:c>
      <x:c r="O10" s="16" t="str">
        <x:f>IF(A10="","",AND(N10,MIN(F10,H10,J10,IF(INDEX(Accessory_Config!$D$6:$D$30,MATCH(C10,Accessory_Config!$B$6:$B$30,0))=4,L10,999))&gt;=INDEX(Accessory_Config!$F$6:$F$30,MATCH(C10,Accessory_Config!$B$6:$B$30,0)),MIN(G10,I10,K10,IF(INDEX(Accessory_Config!$D$6:$D$30,MATCH(C10,Accessory_Config!$B$6:$B$30,0))=4,M10,999))&gt;=2))</x:f>
      </x:c>
      <x:c r="P10" s="19" t="str">
        <x:f>IF(A10="","",IF(E10="","",IF(O10,E10+INDEX(Accessory_Config!$H$6:$H$30,MATCH(C10,Accessory_Config!$B$6:$B$30,0)),E10)))</x:f>
      </x:c>
      <x:c r="Q10" s="17"/>
    </x:row>
    <x:row r="11">
      <x:c r="A11" s="30"/>
      <x:c r="B11" s="17"/>
      <x:c r="C11" s="17"/>
      <x:c r="D11" s="17"/>
      <x:c r="E11" s="31"/>
      <x:c r="F11" s="17"/>
      <x:c r="G11" s="17"/>
      <x:c r="H11" s="17"/>
      <x:c r="I11" s="17"/>
      <x:c r="J11" s="17"/>
      <x:c r="K11" s="17"/>
      <x:c r="L11" s="17"/>
      <x:c r="M11" s="17"/>
      <x:c r="N11" s="16" t="str">
        <x:f>IF(A11="","",COUNT(F11,H11,J11,L11)&gt;=INDEX(Accessory_Config!$D$6:$D$30,MATCH(C11,Accessory_Config!$B$6:$B$30,0)))</x:f>
      </x:c>
      <x:c r="O11" s="16" t="str">
        <x:f>IF(A11="","",AND(N11,MIN(F11,H11,J11,IF(INDEX(Accessory_Config!$D$6:$D$30,MATCH(C11,Accessory_Config!$B$6:$B$30,0))=4,L11,999))&gt;=INDEX(Accessory_Config!$F$6:$F$30,MATCH(C11,Accessory_Config!$B$6:$B$30,0)),MIN(G11,I11,K11,IF(INDEX(Accessory_Config!$D$6:$D$30,MATCH(C11,Accessory_Config!$B$6:$B$30,0))=4,M11,999))&gt;=2))</x:f>
      </x:c>
      <x:c r="P11" s="19" t="str">
        <x:f>IF(A11="","",IF(E11="","",IF(O11,E11+INDEX(Accessory_Config!$H$6:$H$30,MATCH(C11,Accessory_Config!$B$6:$B$30,0)),E11)))</x:f>
      </x:c>
      <x:c r="Q11" s="17"/>
    </x:row>
    <x:row r="12">
      <x:c r="A12" s="30"/>
      <x:c r="B12" s="17"/>
      <x:c r="C12" s="17"/>
      <x:c r="D12" s="17"/>
      <x:c r="E12" s="31"/>
      <x:c r="F12" s="17"/>
      <x:c r="G12" s="17"/>
      <x:c r="H12" s="17"/>
      <x:c r="I12" s="17"/>
      <x:c r="J12" s="17"/>
      <x:c r="K12" s="17"/>
      <x:c r="L12" s="17"/>
      <x:c r="M12" s="17"/>
      <x:c r="N12" s="16" t="str">
        <x:f>IF(A12="","",COUNT(F12,H12,J12,L12)&gt;=INDEX(Accessory_Config!$D$6:$D$30,MATCH(C12,Accessory_Config!$B$6:$B$30,0)))</x:f>
      </x:c>
      <x:c r="O12" s="16" t="str">
        <x:f>IF(A12="","",AND(N12,MIN(F12,H12,J12,IF(INDEX(Accessory_Config!$D$6:$D$30,MATCH(C12,Accessory_Config!$B$6:$B$30,0))=4,L12,999))&gt;=INDEX(Accessory_Config!$F$6:$F$30,MATCH(C12,Accessory_Config!$B$6:$B$30,0)),MIN(G12,I12,K12,IF(INDEX(Accessory_Config!$D$6:$D$30,MATCH(C12,Accessory_Config!$B$6:$B$30,0))=4,M12,999))&gt;=2))</x:f>
      </x:c>
      <x:c r="P12" s="19" t="str">
        <x:f>IF(A12="","",IF(E12="","",IF(O12,E12+INDEX(Accessory_Config!$H$6:$H$30,MATCH(C12,Accessory_Config!$B$6:$B$30,0)),E12)))</x:f>
      </x:c>
      <x:c r="Q12" s="17"/>
    </x:row>
    <x:row r="13">
      <x:c r="A13" s="30"/>
      <x:c r="B13" s="17"/>
      <x:c r="C13" s="17"/>
      <x:c r="D13" s="17"/>
      <x:c r="E13" s="31"/>
      <x:c r="F13" s="17"/>
      <x:c r="G13" s="17"/>
      <x:c r="H13" s="17"/>
      <x:c r="I13" s="17"/>
      <x:c r="J13" s="17"/>
      <x:c r="K13" s="17"/>
      <x:c r="L13" s="17"/>
      <x:c r="M13" s="17"/>
      <x:c r="N13" s="16" t="str">
        <x:f>IF(A13="","",COUNT(F13,H13,J13,L13)&gt;=INDEX(Accessory_Config!$D$6:$D$30,MATCH(C13,Accessory_Config!$B$6:$B$30,0)))</x:f>
      </x:c>
      <x:c r="O13" s="16" t="str">
        <x:f>IF(A13="","",AND(N13,MIN(F13,H13,J13,IF(INDEX(Accessory_Config!$D$6:$D$30,MATCH(C13,Accessory_Config!$B$6:$B$30,0))=4,L13,999))&gt;=INDEX(Accessory_Config!$F$6:$F$30,MATCH(C13,Accessory_Config!$B$6:$B$30,0)),MIN(G13,I13,K13,IF(INDEX(Accessory_Config!$D$6:$D$30,MATCH(C13,Accessory_Config!$B$6:$B$30,0))=4,M13,999))&gt;=2))</x:f>
      </x:c>
      <x:c r="P13" s="19" t="str">
        <x:f>IF(A13="","",IF(E13="","",IF(O13,E13+INDEX(Accessory_Config!$H$6:$H$30,MATCH(C13,Accessory_Config!$B$6:$B$30,0)),E13)))</x:f>
      </x:c>
      <x:c r="Q13" s="17"/>
    </x:row>
    <x:row r="14">
      <x:c r="A14" s="30"/>
      <x:c r="B14" s="17"/>
      <x:c r="C14" s="17"/>
      <x:c r="D14" s="17"/>
      <x:c r="E14" s="31"/>
      <x:c r="F14" s="17"/>
      <x:c r="G14" s="17"/>
      <x:c r="H14" s="17"/>
      <x:c r="I14" s="17"/>
      <x:c r="J14" s="17"/>
      <x:c r="K14" s="17"/>
      <x:c r="L14" s="17"/>
      <x:c r="M14" s="17"/>
      <x:c r="N14" s="16" t="str">
        <x:f>IF(A14="","",COUNT(F14,H14,J14,L14)&gt;=INDEX(Accessory_Config!$D$6:$D$30,MATCH(C14,Accessory_Config!$B$6:$B$30,0)))</x:f>
      </x:c>
      <x:c r="O14" s="16" t="str">
        <x:f>IF(A14="","",AND(N14,MIN(F14,H14,J14,IF(INDEX(Accessory_Config!$D$6:$D$30,MATCH(C14,Accessory_Config!$B$6:$B$30,0))=4,L14,999))&gt;=INDEX(Accessory_Config!$F$6:$F$30,MATCH(C14,Accessory_Config!$B$6:$B$30,0)),MIN(G14,I14,K14,IF(INDEX(Accessory_Config!$D$6:$D$30,MATCH(C14,Accessory_Config!$B$6:$B$30,0))=4,M14,999))&gt;=2))</x:f>
      </x:c>
      <x:c r="P14" s="19" t="str">
        <x:f>IF(A14="","",IF(E14="","",IF(O14,E14+INDEX(Accessory_Config!$H$6:$H$30,MATCH(C14,Accessory_Config!$B$6:$B$30,0)),E14)))</x:f>
      </x:c>
      <x:c r="Q14" s="17"/>
    </x:row>
    <x:row r="15">
      <x:c r="A15" s="30"/>
      <x:c r="B15" s="17"/>
      <x:c r="C15" s="17"/>
      <x:c r="D15" s="17"/>
      <x:c r="E15" s="31"/>
      <x:c r="F15" s="17"/>
      <x:c r="G15" s="17"/>
      <x:c r="H15" s="17"/>
      <x:c r="I15" s="17"/>
      <x:c r="J15" s="17"/>
      <x:c r="K15" s="17"/>
      <x:c r="L15" s="17"/>
      <x:c r="M15" s="17"/>
      <x:c r="N15" s="16" t="str">
        <x:f>IF(A15="","",COUNT(F15,H15,J15,L15)&gt;=INDEX(Accessory_Config!$D$6:$D$30,MATCH(C15,Accessory_Config!$B$6:$B$30,0)))</x:f>
      </x:c>
      <x:c r="O15" s="16" t="str">
        <x:f>IF(A15="","",AND(N15,MIN(F15,H15,J15,IF(INDEX(Accessory_Config!$D$6:$D$30,MATCH(C15,Accessory_Config!$B$6:$B$30,0))=4,L15,999))&gt;=INDEX(Accessory_Config!$F$6:$F$30,MATCH(C15,Accessory_Config!$B$6:$B$30,0)),MIN(G15,I15,K15,IF(INDEX(Accessory_Config!$D$6:$D$30,MATCH(C15,Accessory_Config!$B$6:$B$30,0))=4,M15,999))&gt;=2))</x:f>
      </x:c>
      <x:c r="P15" s="19" t="str">
        <x:f>IF(A15="","",IF(E15="","",IF(O15,E15+INDEX(Accessory_Config!$H$6:$H$30,MATCH(C15,Accessory_Config!$B$6:$B$30,0)),E15)))</x:f>
      </x:c>
      <x:c r="Q15" s="17"/>
    </x:row>
    <x:row r="16">
      <x:c r="A16" s="30"/>
      <x:c r="B16" s="17"/>
      <x:c r="C16" s="17"/>
      <x:c r="D16" s="17"/>
      <x:c r="E16" s="31"/>
      <x:c r="F16" s="17"/>
      <x:c r="G16" s="17"/>
      <x:c r="H16" s="17"/>
      <x:c r="I16" s="17"/>
      <x:c r="J16" s="17"/>
      <x:c r="K16" s="17"/>
      <x:c r="L16" s="17"/>
      <x:c r="M16" s="17"/>
      <x:c r="N16" s="16" t="str">
        <x:f>IF(A16="","",COUNT(F16,H16,J16,L16)&gt;=INDEX(Accessory_Config!$D$6:$D$30,MATCH(C16,Accessory_Config!$B$6:$B$30,0)))</x:f>
      </x:c>
      <x:c r="O16" s="16" t="str">
        <x:f>IF(A16="","",AND(N16,MIN(F16,H16,J16,IF(INDEX(Accessory_Config!$D$6:$D$30,MATCH(C16,Accessory_Config!$B$6:$B$30,0))=4,L16,999))&gt;=INDEX(Accessory_Config!$F$6:$F$30,MATCH(C16,Accessory_Config!$B$6:$B$30,0)),MIN(G16,I16,K16,IF(INDEX(Accessory_Config!$D$6:$D$30,MATCH(C16,Accessory_Config!$B$6:$B$30,0))=4,M16,999))&gt;=2))</x:f>
      </x:c>
      <x:c r="P16" s="19" t="str">
        <x:f>IF(A16="","",IF(E16="","",IF(O16,E16+INDEX(Accessory_Config!$H$6:$H$30,MATCH(C16,Accessory_Config!$B$6:$B$30,0)),E16)))</x:f>
      </x:c>
      <x:c r="Q16" s="17"/>
    </x:row>
    <x:row r="17">
      <x:c r="A17" s="30"/>
      <x:c r="B17" s="17"/>
      <x:c r="C17" s="17"/>
      <x:c r="D17" s="17"/>
      <x:c r="E17" s="31"/>
      <x:c r="F17" s="17"/>
      <x:c r="G17" s="17"/>
      <x:c r="H17" s="17"/>
      <x:c r="I17" s="17"/>
      <x:c r="J17" s="17"/>
      <x:c r="K17" s="17"/>
      <x:c r="L17" s="17"/>
      <x:c r="M17" s="17"/>
      <x:c r="N17" s="16" t="str">
        <x:f>IF(A17="","",COUNT(F17,H17,J17,L17)&gt;=INDEX(Accessory_Config!$D$6:$D$30,MATCH(C17,Accessory_Config!$B$6:$B$30,0)))</x:f>
      </x:c>
      <x:c r="O17" s="16" t="str">
        <x:f>IF(A17="","",AND(N17,MIN(F17,H17,J17,IF(INDEX(Accessory_Config!$D$6:$D$30,MATCH(C17,Accessory_Config!$B$6:$B$30,0))=4,L17,999))&gt;=INDEX(Accessory_Config!$F$6:$F$30,MATCH(C17,Accessory_Config!$B$6:$B$30,0)),MIN(G17,I17,K17,IF(INDEX(Accessory_Config!$D$6:$D$30,MATCH(C17,Accessory_Config!$B$6:$B$30,0))=4,M17,999))&gt;=2))</x:f>
      </x:c>
      <x:c r="P17" s="19" t="str">
        <x:f>IF(A17="","",IF(E17="","",IF(O17,E17+INDEX(Accessory_Config!$H$6:$H$30,MATCH(C17,Accessory_Config!$B$6:$B$30,0)),E17)))</x:f>
      </x:c>
      <x:c r="Q17" s="17"/>
    </x:row>
    <x:row r="18">
      <x:c r="A18" s="30"/>
      <x:c r="B18" s="17"/>
      <x:c r="C18" s="17"/>
      <x:c r="D18" s="17"/>
      <x:c r="E18" s="31"/>
      <x:c r="F18" s="17"/>
      <x:c r="G18" s="17"/>
      <x:c r="H18" s="17"/>
      <x:c r="I18" s="17"/>
      <x:c r="J18" s="17"/>
      <x:c r="K18" s="17"/>
      <x:c r="L18" s="17"/>
      <x:c r="M18" s="17"/>
      <x:c r="N18" s="16" t="str">
        <x:f>IF(A18="","",COUNT(F18,H18,J18,L18)&gt;=INDEX(Accessory_Config!$D$6:$D$30,MATCH(C18,Accessory_Config!$B$6:$B$30,0)))</x:f>
      </x:c>
      <x:c r="O18" s="16" t="str">
        <x:f>IF(A18="","",AND(N18,MIN(F18,H18,J18,IF(INDEX(Accessory_Config!$D$6:$D$30,MATCH(C18,Accessory_Config!$B$6:$B$30,0))=4,L18,999))&gt;=INDEX(Accessory_Config!$F$6:$F$30,MATCH(C18,Accessory_Config!$B$6:$B$30,0)),MIN(G18,I18,K18,IF(INDEX(Accessory_Config!$D$6:$D$30,MATCH(C18,Accessory_Config!$B$6:$B$30,0))=4,M18,999))&gt;=2))</x:f>
      </x:c>
      <x:c r="P18" s="19" t="str">
        <x:f>IF(A18="","",IF(E18="","",IF(O18,E18+INDEX(Accessory_Config!$H$6:$H$30,MATCH(C18,Accessory_Config!$B$6:$B$30,0)),E18)))</x:f>
      </x:c>
      <x:c r="Q18" s="17"/>
    </x:row>
    <x:row r="19">
      <x:c r="A19" s="30"/>
      <x:c r="B19" s="17"/>
      <x:c r="C19" s="17"/>
      <x:c r="D19" s="17"/>
      <x:c r="E19" s="31"/>
      <x:c r="F19" s="17"/>
      <x:c r="G19" s="17"/>
      <x:c r="H19" s="17"/>
      <x:c r="I19" s="17"/>
      <x:c r="J19" s="17"/>
      <x:c r="K19" s="17"/>
      <x:c r="L19" s="17"/>
      <x:c r="M19" s="17"/>
      <x:c r="N19" s="16" t="str">
        <x:f>IF(A19="","",COUNT(F19,H19,J19,L19)&gt;=INDEX(Accessory_Config!$D$6:$D$30,MATCH(C19,Accessory_Config!$B$6:$B$30,0)))</x:f>
      </x:c>
      <x:c r="O19" s="16" t="str">
        <x:f>IF(A19="","",AND(N19,MIN(F19,H19,J19,IF(INDEX(Accessory_Config!$D$6:$D$30,MATCH(C19,Accessory_Config!$B$6:$B$30,0))=4,L19,999))&gt;=INDEX(Accessory_Config!$F$6:$F$30,MATCH(C19,Accessory_Config!$B$6:$B$30,0)),MIN(G19,I19,K19,IF(INDEX(Accessory_Config!$D$6:$D$30,MATCH(C19,Accessory_Config!$B$6:$B$30,0))=4,M19,999))&gt;=2))</x:f>
      </x:c>
      <x:c r="P19" s="19" t="str">
        <x:f>IF(A19="","",IF(E19="","",IF(O19,E19+INDEX(Accessory_Config!$H$6:$H$30,MATCH(C19,Accessory_Config!$B$6:$B$30,0)),E19)))</x:f>
      </x:c>
      <x:c r="Q19" s="17"/>
    </x:row>
    <x:row r="20">
      <x:c r="A20" s="30"/>
      <x:c r="B20" s="17"/>
      <x:c r="C20" s="17"/>
      <x:c r="D20" s="17"/>
      <x:c r="E20" s="31"/>
      <x:c r="F20" s="17"/>
      <x:c r="G20" s="17"/>
      <x:c r="H20" s="17"/>
      <x:c r="I20" s="17"/>
      <x:c r="J20" s="17"/>
      <x:c r="K20" s="17"/>
      <x:c r="L20" s="17"/>
      <x:c r="M20" s="17"/>
      <x:c r="N20" s="16" t="str">
        <x:f>IF(A20="","",COUNT(F20,H20,J20,L20)&gt;=INDEX(Accessory_Config!$D$6:$D$30,MATCH(C20,Accessory_Config!$B$6:$B$30,0)))</x:f>
      </x:c>
      <x:c r="O20" s="16" t="str">
        <x:f>IF(A20="","",AND(N20,MIN(F20,H20,J20,IF(INDEX(Accessory_Config!$D$6:$D$30,MATCH(C20,Accessory_Config!$B$6:$B$30,0))=4,L20,999))&gt;=INDEX(Accessory_Config!$F$6:$F$30,MATCH(C20,Accessory_Config!$B$6:$B$30,0)),MIN(G20,I20,K20,IF(INDEX(Accessory_Config!$D$6:$D$30,MATCH(C20,Accessory_Config!$B$6:$B$30,0))=4,M20,999))&gt;=2))</x:f>
      </x:c>
      <x:c r="P20" s="19" t="str">
        <x:f>IF(A20="","",IF(E20="","",IF(O20,E20+INDEX(Accessory_Config!$H$6:$H$30,MATCH(C20,Accessory_Config!$B$6:$B$30,0)),E20)))</x:f>
      </x:c>
      <x:c r="Q20" s="17"/>
    </x:row>
    <x:row r="21">
      <x:c r="A21" s="30"/>
      <x:c r="B21" s="17"/>
      <x:c r="C21" s="17"/>
      <x:c r="D21" s="17"/>
      <x:c r="E21" s="31"/>
      <x:c r="F21" s="17"/>
      <x:c r="G21" s="17"/>
      <x:c r="H21" s="17"/>
      <x:c r="I21" s="17"/>
      <x:c r="J21" s="17"/>
      <x:c r="K21" s="17"/>
      <x:c r="L21" s="17"/>
      <x:c r="M21" s="17"/>
      <x:c r="N21" s="16" t="str">
        <x:f>IF(A21="","",COUNT(F21,H21,J21,L21)&gt;=INDEX(Accessory_Config!$D$6:$D$30,MATCH(C21,Accessory_Config!$B$6:$B$30,0)))</x:f>
      </x:c>
      <x:c r="O21" s="16" t="str">
        <x:f>IF(A21="","",AND(N21,MIN(F21,H21,J21,IF(INDEX(Accessory_Config!$D$6:$D$30,MATCH(C21,Accessory_Config!$B$6:$B$30,0))=4,L21,999))&gt;=INDEX(Accessory_Config!$F$6:$F$30,MATCH(C21,Accessory_Config!$B$6:$B$30,0)),MIN(G21,I21,K21,IF(INDEX(Accessory_Config!$D$6:$D$30,MATCH(C21,Accessory_Config!$B$6:$B$30,0))=4,M21,999))&gt;=2))</x:f>
      </x:c>
      <x:c r="P21" s="19" t="str">
        <x:f>IF(A21="","",IF(E21="","",IF(O21,E21+INDEX(Accessory_Config!$H$6:$H$30,MATCH(C21,Accessory_Config!$B$6:$B$30,0)),E21)))</x:f>
      </x:c>
      <x:c r="Q21" s="17"/>
    </x:row>
    <x:row r="22">
      <x:c r="A22" s="30"/>
      <x:c r="B22" s="17"/>
      <x:c r="C22" s="17"/>
      <x:c r="D22" s="17"/>
      <x:c r="E22" s="31"/>
      <x:c r="F22" s="17"/>
      <x:c r="G22" s="17"/>
      <x:c r="H22" s="17"/>
      <x:c r="I22" s="17"/>
      <x:c r="J22" s="17"/>
      <x:c r="K22" s="17"/>
      <x:c r="L22" s="17"/>
      <x:c r="M22" s="17"/>
      <x:c r="N22" s="16" t="str">
        <x:f>IF(A22="","",COUNT(F22,H22,J22,L22)&gt;=INDEX(Accessory_Config!$D$6:$D$30,MATCH(C22,Accessory_Config!$B$6:$B$30,0)))</x:f>
      </x:c>
      <x:c r="O22" s="16" t="str">
        <x:f>IF(A22="","",AND(N22,MIN(F22,H22,J22,IF(INDEX(Accessory_Config!$D$6:$D$30,MATCH(C22,Accessory_Config!$B$6:$B$30,0))=4,L22,999))&gt;=INDEX(Accessory_Config!$F$6:$F$30,MATCH(C22,Accessory_Config!$B$6:$B$30,0)),MIN(G22,I22,K22,IF(INDEX(Accessory_Config!$D$6:$D$30,MATCH(C22,Accessory_Config!$B$6:$B$30,0))=4,M22,999))&gt;=2))</x:f>
      </x:c>
      <x:c r="P22" s="19" t="str">
        <x:f>IF(A22="","",IF(E22="","",IF(O22,E22+INDEX(Accessory_Config!$H$6:$H$30,MATCH(C22,Accessory_Config!$B$6:$B$30,0)),E22)))</x:f>
      </x:c>
      <x:c r="Q22" s="17"/>
    </x:row>
    <x:row r="23">
      <x:c r="A23" s="30"/>
      <x:c r="B23" s="17"/>
      <x:c r="C23" s="17"/>
      <x:c r="D23" s="17"/>
      <x:c r="E23" s="31"/>
      <x:c r="F23" s="17"/>
      <x:c r="G23" s="17"/>
      <x:c r="H23" s="17"/>
      <x:c r="I23" s="17"/>
      <x:c r="J23" s="17"/>
      <x:c r="K23" s="17"/>
      <x:c r="L23" s="17"/>
      <x:c r="M23" s="17"/>
      <x:c r="N23" s="16" t="str">
        <x:f>IF(A23="","",COUNT(F23,H23,J23,L23)&gt;=INDEX(Accessory_Config!$D$6:$D$30,MATCH(C23,Accessory_Config!$B$6:$B$30,0)))</x:f>
      </x:c>
      <x:c r="O23" s="16" t="str">
        <x:f>IF(A23="","",AND(N23,MIN(F23,H23,J23,IF(INDEX(Accessory_Config!$D$6:$D$30,MATCH(C23,Accessory_Config!$B$6:$B$30,0))=4,L23,999))&gt;=INDEX(Accessory_Config!$F$6:$F$30,MATCH(C23,Accessory_Config!$B$6:$B$30,0)),MIN(G23,I23,K23,IF(INDEX(Accessory_Config!$D$6:$D$30,MATCH(C23,Accessory_Config!$B$6:$B$30,0))=4,M23,999))&gt;=2))</x:f>
      </x:c>
      <x:c r="P23" s="19" t="str">
        <x:f>IF(A23="","",IF(E23="","",IF(O23,E23+INDEX(Accessory_Config!$H$6:$H$30,MATCH(C23,Accessory_Config!$B$6:$B$30,0)),E23)))</x:f>
      </x:c>
      <x:c r="Q23" s="17"/>
    </x:row>
    <x:row r="24">
      <x:c r="A24" s="30"/>
      <x:c r="B24" s="17"/>
      <x:c r="C24" s="17"/>
      <x:c r="D24" s="17"/>
      <x:c r="E24" s="31"/>
      <x:c r="F24" s="17"/>
      <x:c r="G24" s="17"/>
      <x:c r="H24" s="17"/>
      <x:c r="I24" s="17"/>
      <x:c r="J24" s="17"/>
      <x:c r="K24" s="17"/>
      <x:c r="L24" s="17"/>
      <x:c r="M24" s="17"/>
      <x:c r="N24" s="16" t="str">
        <x:f>IF(A24="","",COUNT(F24,H24,J24,L24)&gt;=INDEX(Accessory_Config!$D$6:$D$30,MATCH(C24,Accessory_Config!$B$6:$B$30,0)))</x:f>
      </x:c>
      <x:c r="O24" s="16" t="str">
        <x:f>IF(A24="","",AND(N24,MIN(F24,H24,J24,IF(INDEX(Accessory_Config!$D$6:$D$30,MATCH(C24,Accessory_Config!$B$6:$B$30,0))=4,L24,999))&gt;=INDEX(Accessory_Config!$F$6:$F$30,MATCH(C24,Accessory_Config!$B$6:$B$30,0)),MIN(G24,I24,K24,IF(INDEX(Accessory_Config!$D$6:$D$30,MATCH(C24,Accessory_Config!$B$6:$B$30,0))=4,M24,999))&gt;=2))</x:f>
      </x:c>
      <x:c r="P24" s="19" t="str">
        <x:f>IF(A24="","",IF(E24="","",IF(O24,E24+INDEX(Accessory_Config!$H$6:$H$30,MATCH(C24,Accessory_Config!$B$6:$B$30,0)),E24)))</x:f>
      </x:c>
      <x:c r="Q24" s="17"/>
    </x:row>
    <x:row r="25">
      <x:c r="A25" s="30"/>
      <x:c r="B25" s="17"/>
      <x:c r="C25" s="17"/>
      <x:c r="D25" s="17"/>
      <x:c r="E25" s="31"/>
      <x:c r="F25" s="17"/>
      <x:c r="G25" s="17"/>
      <x:c r="H25" s="17"/>
      <x:c r="I25" s="17"/>
      <x:c r="J25" s="17"/>
      <x:c r="K25" s="17"/>
      <x:c r="L25" s="17"/>
      <x:c r="M25" s="17"/>
      <x:c r="N25" s="16" t="str">
        <x:f>IF(A25="","",COUNT(F25,H25,J25,L25)&gt;=INDEX(Accessory_Config!$D$6:$D$30,MATCH(C25,Accessory_Config!$B$6:$B$30,0)))</x:f>
      </x:c>
      <x:c r="O25" s="16" t="str">
        <x:f>IF(A25="","",AND(N25,MIN(F25,H25,J25,IF(INDEX(Accessory_Config!$D$6:$D$30,MATCH(C25,Accessory_Config!$B$6:$B$30,0))=4,L25,999))&gt;=INDEX(Accessory_Config!$F$6:$F$30,MATCH(C25,Accessory_Config!$B$6:$B$30,0)),MIN(G25,I25,K25,IF(INDEX(Accessory_Config!$D$6:$D$30,MATCH(C25,Accessory_Config!$B$6:$B$30,0))=4,M25,999))&gt;=2))</x:f>
      </x:c>
      <x:c r="P25" s="19" t="str">
        <x:f>IF(A25="","",IF(E25="","",IF(O25,E25+INDEX(Accessory_Config!$H$6:$H$30,MATCH(C25,Accessory_Config!$B$6:$B$30,0)),E25)))</x:f>
      </x:c>
      <x:c r="Q25" s="17"/>
    </x:row>
    <x:row r="26">
      <x:c r="A26" s="30"/>
      <x:c r="B26" s="17"/>
      <x:c r="C26" s="17"/>
      <x:c r="D26" s="17"/>
      <x:c r="E26" s="31"/>
      <x:c r="F26" s="17"/>
      <x:c r="G26" s="17"/>
      <x:c r="H26" s="17"/>
      <x:c r="I26" s="17"/>
      <x:c r="J26" s="17"/>
      <x:c r="K26" s="17"/>
      <x:c r="L26" s="17"/>
      <x:c r="M26" s="17"/>
      <x:c r="N26" s="16" t="str">
        <x:f>IF(A26="","",COUNT(F26,H26,J26,L26)&gt;=INDEX(Accessory_Config!$D$6:$D$30,MATCH(C26,Accessory_Config!$B$6:$B$30,0)))</x:f>
      </x:c>
      <x:c r="O26" s="16" t="str">
        <x:f>IF(A26="","",AND(N26,MIN(F26,H26,J26,IF(INDEX(Accessory_Config!$D$6:$D$30,MATCH(C26,Accessory_Config!$B$6:$B$30,0))=4,L26,999))&gt;=INDEX(Accessory_Config!$F$6:$F$30,MATCH(C26,Accessory_Config!$B$6:$B$30,0)),MIN(G26,I26,K26,IF(INDEX(Accessory_Config!$D$6:$D$30,MATCH(C26,Accessory_Config!$B$6:$B$30,0))=4,M26,999))&gt;=2))</x:f>
      </x:c>
      <x:c r="P26" s="19" t="str">
        <x:f>IF(A26="","",IF(E26="","",IF(O26,E26+INDEX(Accessory_Config!$H$6:$H$30,MATCH(C26,Accessory_Config!$B$6:$B$30,0)),E26)))</x:f>
      </x:c>
      <x:c r="Q26" s="17"/>
    </x:row>
    <x:row r="27">
      <x:c r="A27" s="30"/>
      <x:c r="B27" s="17"/>
      <x:c r="C27" s="17"/>
      <x:c r="D27" s="17"/>
      <x:c r="E27" s="31"/>
      <x:c r="F27" s="17"/>
      <x:c r="G27" s="17"/>
      <x:c r="H27" s="17"/>
      <x:c r="I27" s="17"/>
      <x:c r="J27" s="17"/>
      <x:c r="K27" s="17"/>
      <x:c r="L27" s="17"/>
      <x:c r="M27" s="17"/>
      <x:c r="N27" s="16" t="str">
        <x:f>IF(A27="","",COUNT(F27,H27,J27,L27)&gt;=INDEX(Accessory_Config!$D$6:$D$30,MATCH(C27,Accessory_Config!$B$6:$B$30,0)))</x:f>
      </x:c>
      <x:c r="O27" s="16" t="str">
        <x:f>IF(A27="","",AND(N27,MIN(F27,H27,J27,IF(INDEX(Accessory_Config!$D$6:$D$30,MATCH(C27,Accessory_Config!$B$6:$B$30,0))=4,L27,999))&gt;=INDEX(Accessory_Config!$F$6:$F$30,MATCH(C27,Accessory_Config!$B$6:$B$30,0)),MIN(G27,I27,K27,IF(INDEX(Accessory_Config!$D$6:$D$30,MATCH(C27,Accessory_Config!$B$6:$B$30,0))=4,M27,999))&gt;=2))</x:f>
      </x:c>
      <x:c r="P27" s="19" t="str">
        <x:f>IF(A27="","",IF(E27="","",IF(O27,E27+INDEX(Accessory_Config!$H$6:$H$30,MATCH(C27,Accessory_Config!$B$6:$B$30,0)),E27)))</x:f>
      </x:c>
      <x:c r="Q27" s="17"/>
    </x:row>
    <x:row r="28">
      <x:c r="A28" s="30"/>
      <x:c r="B28" s="17"/>
      <x:c r="C28" s="17"/>
      <x:c r="D28" s="17"/>
      <x:c r="E28" s="31"/>
      <x:c r="F28" s="17"/>
      <x:c r="G28" s="17"/>
      <x:c r="H28" s="17"/>
      <x:c r="I28" s="17"/>
      <x:c r="J28" s="17"/>
      <x:c r="K28" s="17"/>
      <x:c r="L28" s="17"/>
      <x:c r="M28" s="17"/>
      <x:c r="N28" s="16" t="str">
        <x:f>IF(A28="","",COUNT(F28,H28,J28,L28)&gt;=INDEX(Accessory_Config!$D$6:$D$30,MATCH(C28,Accessory_Config!$B$6:$B$30,0)))</x:f>
      </x:c>
      <x:c r="O28" s="16" t="str">
        <x:f>IF(A28="","",AND(N28,MIN(F28,H28,J28,IF(INDEX(Accessory_Config!$D$6:$D$30,MATCH(C28,Accessory_Config!$B$6:$B$30,0))=4,L28,999))&gt;=INDEX(Accessory_Config!$F$6:$F$30,MATCH(C28,Accessory_Config!$B$6:$B$30,0)),MIN(G28,I28,K28,IF(INDEX(Accessory_Config!$D$6:$D$30,MATCH(C28,Accessory_Config!$B$6:$B$30,0))=4,M28,999))&gt;=2))</x:f>
      </x:c>
      <x:c r="P28" s="19" t="str">
        <x:f>IF(A28="","",IF(E28="","",IF(O28,E28+INDEX(Accessory_Config!$H$6:$H$30,MATCH(C28,Accessory_Config!$B$6:$B$30,0)),E28)))</x:f>
      </x:c>
      <x:c r="Q28" s="17"/>
    </x:row>
    <x:row r="29">
      <x:c r="A29" s="30"/>
      <x:c r="B29" s="17"/>
      <x:c r="C29" s="17"/>
      <x:c r="D29" s="17"/>
      <x:c r="E29" s="31"/>
      <x:c r="F29" s="17"/>
      <x:c r="G29" s="17"/>
      <x:c r="H29" s="17"/>
      <x:c r="I29" s="17"/>
      <x:c r="J29" s="17"/>
      <x:c r="K29" s="17"/>
      <x:c r="L29" s="17"/>
      <x:c r="M29" s="17"/>
      <x:c r="N29" s="16" t="str">
        <x:f>IF(A29="","",COUNT(F29,H29,J29,L29)&gt;=INDEX(Accessory_Config!$D$6:$D$30,MATCH(C29,Accessory_Config!$B$6:$B$30,0)))</x:f>
      </x:c>
      <x:c r="O29" s="16" t="str">
        <x:f>IF(A29="","",AND(N29,MIN(F29,H29,J29,IF(INDEX(Accessory_Config!$D$6:$D$30,MATCH(C29,Accessory_Config!$B$6:$B$30,0))=4,L29,999))&gt;=INDEX(Accessory_Config!$F$6:$F$30,MATCH(C29,Accessory_Config!$B$6:$B$30,0)),MIN(G29,I29,K29,IF(INDEX(Accessory_Config!$D$6:$D$30,MATCH(C29,Accessory_Config!$B$6:$B$30,0))=4,M29,999))&gt;=2))</x:f>
      </x:c>
      <x:c r="P29" s="19" t="str">
        <x:f>IF(A29="","",IF(E29="","",IF(O29,E29+INDEX(Accessory_Config!$H$6:$H$30,MATCH(C29,Accessory_Config!$B$6:$B$30,0)),E29)))</x:f>
      </x:c>
      <x:c r="Q29" s="17"/>
    </x:row>
    <x:row r="30">
      <x:c r="A30" s="30"/>
      <x:c r="B30" s="17"/>
      <x:c r="C30" s="17"/>
      <x:c r="D30" s="17"/>
      <x:c r="E30" s="31"/>
      <x:c r="F30" s="17"/>
      <x:c r="G30" s="17"/>
      <x:c r="H30" s="17"/>
      <x:c r="I30" s="17"/>
      <x:c r="J30" s="17"/>
      <x:c r="K30" s="17"/>
      <x:c r="L30" s="17"/>
      <x:c r="M30" s="17"/>
      <x:c r="N30" s="16" t="str">
        <x:f>IF(A30="","",COUNT(F30,H30,J30,L30)&gt;=INDEX(Accessory_Config!$D$6:$D$30,MATCH(C30,Accessory_Config!$B$6:$B$30,0)))</x:f>
      </x:c>
      <x:c r="O30" s="16" t="str">
        <x:f>IF(A30="","",AND(N30,MIN(F30,H30,J30,IF(INDEX(Accessory_Config!$D$6:$D$30,MATCH(C30,Accessory_Config!$B$6:$B$30,0))=4,L30,999))&gt;=INDEX(Accessory_Config!$F$6:$F$30,MATCH(C30,Accessory_Config!$B$6:$B$30,0)),MIN(G30,I30,K30,IF(INDEX(Accessory_Config!$D$6:$D$30,MATCH(C30,Accessory_Config!$B$6:$B$30,0))=4,M30,999))&gt;=2))</x:f>
      </x:c>
      <x:c r="P30" s="19" t="str">
        <x:f>IF(A30="","",IF(E30="","",IF(O30,E30+INDEX(Accessory_Config!$H$6:$H$30,MATCH(C30,Accessory_Config!$B$6:$B$30,0)),E30)))</x:f>
      </x:c>
      <x:c r="Q30" s="17"/>
    </x:row>
    <x:row r="31">
      <x:c r="A31" s="30"/>
      <x:c r="B31" s="17"/>
      <x:c r="C31" s="17"/>
      <x:c r="D31" s="17"/>
      <x:c r="E31" s="31"/>
      <x:c r="F31" s="17"/>
      <x:c r="G31" s="17"/>
      <x:c r="H31" s="17"/>
      <x:c r="I31" s="17"/>
      <x:c r="J31" s="17"/>
      <x:c r="K31" s="17"/>
      <x:c r="L31" s="17"/>
      <x:c r="M31" s="17"/>
      <x:c r="N31" s="16" t="str">
        <x:f>IF(A31="","",COUNT(F31,H31,J31,L31)&gt;=INDEX(Accessory_Config!$D$6:$D$30,MATCH(C31,Accessory_Config!$B$6:$B$30,0)))</x:f>
      </x:c>
      <x:c r="O31" s="16" t="str">
        <x:f>IF(A31="","",AND(N31,MIN(F31,H31,J31,IF(INDEX(Accessory_Config!$D$6:$D$30,MATCH(C31,Accessory_Config!$B$6:$B$30,0))=4,L31,999))&gt;=INDEX(Accessory_Config!$F$6:$F$30,MATCH(C31,Accessory_Config!$B$6:$B$30,0)),MIN(G31,I31,K31,IF(INDEX(Accessory_Config!$D$6:$D$30,MATCH(C31,Accessory_Config!$B$6:$B$30,0))=4,M31,999))&gt;=2))</x:f>
      </x:c>
      <x:c r="P31" s="19" t="str">
        <x:f>IF(A31="","",IF(E31="","",IF(O31,E31+INDEX(Accessory_Config!$H$6:$H$30,MATCH(C31,Accessory_Config!$B$6:$B$30,0)),E31)))</x:f>
      </x:c>
      <x:c r="Q31" s="17"/>
    </x:row>
    <x:row r="32">
      <x:c r="A32" s="30"/>
      <x:c r="B32" s="17"/>
      <x:c r="C32" s="17"/>
      <x:c r="D32" s="17"/>
      <x:c r="E32" s="31"/>
      <x:c r="F32" s="17"/>
      <x:c r="G32" s="17"/>
      <x:c r="H32" s="17"/>
      <x:c r="I32" s="17"/>
      <x:c r="J32" s="17"/>
      <x:c r="K32" s="17"/>
      <x:c r="L32" s="17"/>
      <x:c r="M32" s="17"/>
      <x:c r="N32" s="16" t="str">
        <x:f>IF(A32="","",COUNT(F32,H32,J32,L32)&gt;=INDEX(Accessory_Config!$D$6:$D$30,MATCH(C32,Accessory_Config!$B$6:$B$30,0)))</x:f>
      </x:c>
      <x:c r="O32" s="16" t="str">
        <x:f>IF(A32="","",AND(N32,MIN(F32,H32,J32,IF(INDEX(Accessory_Config!$D$6:$D$30,MATCH(C32,Accessory_Config!$B$6:$B$30,0))=4,L32,999))&gt;=INDEX(Accessory_Config!$F$6:$F$30,MATCH(C32,Accessory_Config!$B$6:$B$30,0)),MIN(G32,I32,K32,IF(INDEX(Accessory_Config!$D$6:$D$30,MATCH(C32,Accessory_Config!$B$6:$B$30,0))=4,M32,999))&gt;=2))</x:f>
      </x:c>
      <x:c r="P32" s="19" t="str">
        <x:f>IF(A32="","",IF(E32="","",IF(O32,E32+INDEX(Accessory_Config!$H$6:$H$30,MATCH(C32,Accessory_Config!$B$6:$B$30,0)),E32)))</x:f>
      </x:c>
      <x:c r="Q32" s="17"/>
    </x:row>
    <x:row r="33">
      <x:c r="A33" s="30"/>
      <x:c r="B33" s="17"/>
      <x:c r="C33" s="17"/>
      <x:c r="D33" s="17"/>
      <x:c r="E33" s="31"/>
      <x:c r="F33" s="17"/>
      <x:c r="G33" s="17"/>
      <x:c r="H33" s="17"/>
      <x:c r="I33" s="17"/>
      <x:c r="J33" s="17"/>
      <x:c r="K33" s="17"/>
      <x:c r="L33" s="17"/>
      <x:c r="M33" s="17"/>
      <x:c r="N33" s="16" t="str">
        <x:f>IF(A33="","",COUNT(F33,H33,J33,L33)&gt;=INDEX(Accessory_Config!$D$6:$D$30,MATCH(C33,Accessory_Config!$B$6:$B$30,0)))</x:f>
      </x:c>
      <x:c r="O33" s="16" t="str">
        <x:f>IF(A33="","",AND(N33,MIN(F33,H33,J33,IF(INDEX(Accessory_Config!$D$6:$D$30,MATCH(C33,Accessory_Config!$B$6:$B$30,0))=4,L33,999))&gt;=INDEX(Accessory_Config!$F$6:$F$30,MATCH(C33,Accessory_Config!$B$6:$B$30,0)),MIN(G33,I33,K33,IF(INDEX(Accessory_Config!$D$6:$D$30,MATCH(C33,Accessory_Config!$B$6:$B$30,0))=4,M33,999))&gt;=2))</x:f>
      </x:c>
      <x:c r="P33" s="19" t="str">
        <x:f>IF(A33="","",IF(E33="","",IF(O33,E33+INDEX(Accessory_Config!$H$6:$H$30,MATCH(C33,Accessory_Config!$B$6:$B$30,0)),E33)))</x:f>
      </x:c>
      <x:c r="Q33" s="17"/>
    </x:row>
    <x:row r="34">
      <x:c r="A34" s="30"/>
      <x:c r="B34" s="17"/>
      <x:c r="C34" s="17"/>
      <x:c r="D34" s="17"/>
      <x:c r="E34" s="31"/>
      <x:c r="F34" s="17"/>
      <x:c r="G34" s="17"/>
      <x:c r="H34" s="17"/>
      <x:c r="I34" s="17"/>
      <x:c r="J34" s="17"/>
      <x:c r="K34" s="17"/>
      <x:c r="L34" s="17"/>
      <x:c r="M34" s="17"/>
      <x:c r="N34" s="16" t="str">
        <x:f>IF(A34="","",COUNT(F34,H34,J34,L34)&gt;=INDEX(Accessory_Config!$D$6:$D$30,MATCH(C34,Accessory_Config!$B$6:$B$30,0)))</x:f>
      </x:c>
      <x:c r="O34" s="16" t="str">
        <x:f>IF(A34="","",AND(N34,MIN(F34,H34,J34,IF(INDEX(Accessory_Config!$D$6:$D$30,MATCH(C34,Accessory_Config!$B$6:$B$30,0))=4,L34,999))&gt;=INDEX(Accessory_Config!$F$6:$F$30,MATCH(C34,Accessory_Config!$B$6:$B$30,0)),MIN(G34,I34,K34,IF(INDEX(Accessory_Config!$D$6:$D$30,MATCH(C34,Accessory_Config!$B$6:$B$30,0))=4,M34,999))&gt;=2))</x:f>
      </x:c>
      <x:c r="P34" s="19" t="str">
        <x:f>IF(A34="","",IF(E34="","",IF(O34,E34+INDEX(Accessory_Config!$H$6:$H$30,MATCH(C34,Accessory_Config!$B$6:$B$30,0)),E34)))</x:f>
      </x:c>
      <x:c r="Q34" s="17"/>
    </x:row>
    <x:row r="35">
      <x:c r="A35" s="30"/>
      <x:c r="B35" s="17"/>
      <x:c r="C35" s="17"/>
      <x:c r="D35" s="17"/>
      <x:c r="E35" s="31"/>
      <x:c r="F35" s="17"/>
      <x:c r="G35" s="17"/>
      <x:c r="H35" s="17"/>
      <x:c r="I35" s="17"/>
      <x:c r="J35" s="17"/>
      <x:c r="K35" s="17"/>
      <x:c r="L35" s="17"/>
      <x:c r="M35" s="17"/>
      <x:c r="N35" s="16" t="str">
        <x:f>IF(A35="","",COUNT(F35,H35,J35,L35)&gt;=INDEX(Accessory_Config!$D$6:$D$30,MATCH(C35,Accessory_Config!$B$6:$B$30,0)))</x:f>
      </x:c>
      <x:c r="O35" s="16" t="str">
        <x:f>IF(A35="","",AND(N35,MIN(F35,H35,J35,IF(INDEX(Accessory_Config!$D$6:$D$30,MATCH(C35,Accessory_Config!$B$6:$B$30,0))=4,L35,999))&gt;=INDEX(Accessory_Config!$F$6:$F$30,MATCH(C35,Accessory_Config!$B$6:$B$30,0)),MIN(G35,I35,K35,IF(INDEX(Accessory_Config!$D$6:$D$30,MATCH(C35,Accessory_Config!$B$6:$B$30,0))=4,M35,999))&gt;=2))</x:f>
      </x:c>
      <x:c r="P35" s="19" t="str">
        <x:f>IF(A35="","",IF(E35="","",IF(O35,E35+INDEX(Accessory_Config!$H$6:$H$30,MATCH(C35,Accessory_Config!$B$6:$B$30,0)),E35)))</x:f>
      </x:c>
      <x:c r="Q35" s="17"/>
    </x:row>
    <x:row r="36">
      <x:c r="A36" s="30"/>
      <x:c r="B36" s="17"/>
      <x:c r="C36" s="17"/>
      <x:c r="D36" s="17"/>
      <x:c r="E36" s="31"/>
      <x:c r="F36" s="17"/>
      <x:c r="G36" s="17"/>
      <x:c r="H36" s="17"/>
      <x:c r="I36" s="17"/>
      <x:c r="J36" s="17"/>
      <x:c r="K36" s="17"/>
      <x:c r="L36" s="17"/>
      <x:c r="M36" s="17"/>
      <x:c r="N36" s="16" t="str">
        <x:f>IF(A36="","",COUNT(F36,H36,J36,L36)&gt;=INDEX(Accessory_Config!$D$6:$D$30,MATCH(C36,Accessory_Config!$B$6:$B$30,0)))</x:f>
      </x:c>
      <x:c r="O36" s="16" t="str">
        <x:f>IF(A36="","",AND(N36,MIN(F36,H36,J36,IF(INDEX(Accessory_Config!$D$6:$D$30,MATCH(C36,Accessory_Config!$B$6:$B$30,0))=4,L36,999))&gt;=INDEX(Accessory_Config!$F$6:$F$30,MATCH(C36,Accessory_Config!$B$6:$B$30,0)),MIN(G36,I36,K36,IF(INDEX(Accessory_Config!$D$6:$D$30,MATCH(C36,Accessory_Config!$B$6:$B$30,0))=4,M36,999))&gt;=2))</x:f>
      </x:c>
      <x:c r="P36" s="19" t="str">
        <x:f>IF(A36="","",IF(E36="","",IF(O36,E36+INDEX(Accessory_Config!$H$6:$H$30,MATCH(C36,Accessory_Config!$B$6:$B$30,0)),E36)))</x:f>
      </x:c>
      <x:c r="Q36" s="17"/>
    </x:row>
    <x:row r="37">
      <x:c r="A37" s="30"/>
      <x:c r="B37" s="17"/>
      <x:c r="C37" s="17"/>
      <x:c r="D37" s="17"/>
      <x:c r="E37" s="31"/>
      <x:c r="F37" s="17"/>
      <x:c r="G37" s="17"/>
      <x:c r="H37" s="17"/>
      <x:c r="I37" s="17"/>
      <x:c r="J37" s="17"/>
      <x:c r="K37" s="17"/>
      <x:c r="L37" s="17"/>
      <x:c r="M37" s="17"/>
      <x:c r="N37" s="16" t="str">
        <x:f>IF(A37="","",COUNT(F37,H37,J37,L37)&gt;=INDEX(Accessory_Config!$D$6:$D$30,MATCH(C37,Accessory_Config!$B$6:$B$30,0)))</x:f>
      </x:c>
      <x:c r="O37" s="16" t="str">
        <x:f>IF(A37="","",AND(N37,MIN(F37,H37,J37,IF(INDEX(Accessory_Config!$D$6:$D$30,MATCH(C37,Accessory_Config!$B$6:$B$30,0))=4,L37,999))&gt;=INDEX(Accessory_Config!$F$6:$F$30,MATCH(C37,Accessory_Config!$B$6:$B$30,0)),MIN(G37,I37,K37,IF(INDEX(Accessory_Config!$D$6:$D$30,MATCH(C37,Accessory_Config!$B$6:$B$30,0))=4,M37,999))&gt;=2))</x:f>
      </x:c>
      <x:c r="P37" s="19" t="str">
        <x:f>IF(A37="","",IF(E37="","",IF(O37,E37+INDEX(Accessory_Config!$H$6:$H$30,MATCH(C37,Accessory_Config!$B$6:$B$30,0)),E37)))</x:f>
      </x:c>
      <x:c r="Q37" s="17"/>
    </x:row>
    <x:row r="38">
      <x:c r="A38" s="30"/>
      <x:c r="B38" s="17"/>
      <x:c r="C38" s="17"/>
      <x:c r="D38" s="17"/>
      <x:c r="E38" s="31"/>
      <x:c r="F38" s="17"/>
      <x:c r="G38" s="17"/>
      <x:c r="H38" s="17"/>
      <x:c r="I38" s="17"/>
      <x:c r="J38" s="17"/>
      <x:c r="K38" s="17"/>
      <x:c r="L38" s="17"/>
      <x:c r="M38" s="17"/>
      <x:c r="N38" s="16" t="str">
        <x:f>IF(A38="","",COUNT(F38,H38,J38,L38)&gt;=INDEX(Accessory_Config!$D$6:$D$30,MATCH(C38,Accessory_Config!$B$6:$B$30,0)))</x:f>
      </x:c>
      <x:c r="O38" s="16" t="str">
        <x:f>IF(A38="","",AND(N38,MIN(F38,H38,J38,IF(INDEX(Accessory_Config!$D$6:$D$30,MATCH(C38,Accessory_Config!$B$6:$B$30,0))=4,L38,999))&gt;=INDEX(Accessory_Config!$F$6:$F$30,MATCH(C38,Accessory_Config!$B$6:$B$30,0)),MIN(G38,I38,K38,IF(INDEX(Accessory_Config!$D$6:$D$30,MATCH(C38,Accessory_Config!$B$6:$B$30,0))=4,M38,999))&gt;=2))</x:f>
      </x:c>
      <x:c r="P38" s="19" t="str">
        <x:f>IF(A38="","",IF(E38="","",IF(O38,E38+INDEX(Accessory_Config!$H$6:$H$30,MATCH(C38,Accessory_Config!$B$6:$B$30,0)),E38)))</x:f>
      </x:c>
      <x:c r="Q38" s="17"/>
    </x:row>
    <x:row r="39">
      <x:c r="A39" s="30"/>
      <x:c r="B39" s="17"/>
      <x:c r="C39" s="17"/>
      <x:c r="D39" s="17"/>
      <x:c r="E39" s="31"/>
      <x:c r="F39" s="17"/>
      <x:c r="G39" s="17"/>
      <x:c r="H39" s="17"/>
      <x:c r="I39" s="17"/>
      <x:c r="J39" s="17"/>
      <x:c r="K39" s="17"/>
      <x:c r="L39" s="17"/>
      <x:c r="M39" s="17"/>
      <x:c r="N39" s="16" t="str">
        <x:f>IF(A39="","",COUNT(F39,H39,J39,L39)&gt;=INDEX(Accessory_Config!$D$6:$D$30,MATCH(C39,Accessory_Config!$B$6:$B$30,0)))</x:f>
      </x:c>
      <x:c r="O39" s="16" t="str">
        <x:f>IF(A39="","",AND(N39,MIN(F39,H39,J39,IF(INDEX(Accessory_Config!$D$6:$D$30,MATCH(C39,Accessory_Config!$B$6:$B$30,0))=4,L39,999))&gt;=INDEX(Accessory_Config!$F$6:$F$30,MATCH(C39,Accessory_Config!$B$6:$B$30,0)),MIN(G39,I39,K39,IF(INDEX(Accessory_Config!$D$6:$D$30,MATCH(C39,Accessory_Config!$B$6:$B$30,0))=4,M39,999))&gt;=2))</x:f>
      </x:c>
      <x:c r="P39" s="19" t="str">
        <x:f>IF(A39="","",IF(E39="","",IF(O39,E39+INDEX(Accessory_Config!$H$6:$H$30,MATCH(C39,Accessory_Config!$B$6:$B$30,0)),E39)))</x:f>
      </x:c>
      <x:c r="Q39" s="17"/>
    </x:row>
    <x:row r="40">
      <x:c r="A40" s="30"/>
      <x:c r="B40" s="17"/>
      <x:c r="C40" s="17"/>
      <x:c r="D40" s="17"/>
      <x:c r="E40" s="31"/>
      <x:c r="F40" s="17"/>
      <x:c r="G40" s="17"/>
      <x:c r="H40" s="17"/>
      <x:c r="I40" s="17"/>
      <x:c r="J40" s="17"/>
      <x:c r="K40" s="17"/>
      <x:c r="L40" s="17"/>
      <x:c r="M40" s="17"/>
      <x:c r="N40" s="16" t="str">
        <x:f>IF(A40="","",COUNT(F40,H40,J40,L40)&gt;=INDEX(Accessory_Config!$D$6:$D$30,MATCH(C40,Accessory_Config!$B$6:$B$30,0)))</x:f>
      </x:c>
      <x:c r="O40" s="16" t="str">
        <x:f>IF(A40="","",AND(N40,MIN(F40,H40,J40,IF(INDEX(Accessory_Config!$D$6:$D$30,MATCH(C40,Accessory_Config!$B$6:$B$30,0))=4,L40,999))&gt;=INDEX(Accessory_Config!$F$6:$F$30,MATCH(C40,Accessory_Config!$B$6:$B$30,0)),MIN(G40,I40,K40,IF(INDEX(Accessory_Config!$D$6:$D$30,MATCH(C40,Accessory_Config!$B$6:$B$30,0))=4,M40,999))&gt;=2))</x:f>
      </x:c>
      <x:c r="P40" s="19" t="str">
        <x:f>IF(A40="","",IF(E40="","",IF(O40,E40+INDEX(Accessory_Config!$H$6:$H$30,MATCH(C40,Accessory_Config!$B$6:$B$30,0)),E40)))</x:f>
      </x:c>
      <x:c r="Q40" s="17"/>
    </x:row>
    <x:row r="41">
      <x:c r="A41" s="30"/>
      <x:c r="B41" s="17"/>
      <x:c r="C41" s="17"/>
      <x:c r="D41" s="17"/>
      <x:c r="E41" s="31"/>
      <x:c r="F41" s="17"/>
      <x:c r="G41" s="17"/>
      <x:c r="H41" s="17"/>
      <x:c r="I41" s="17"/>
      <x:c r="J41" s="17"/>
      <x:c r="K41" s="17"/>
      <x:c r="L41" s="17"/>
      <x:c r="M41" s="17"/>
      <x:c r="N41" s="16" t="str">
        <x:f>IF(A41="","",COUNT(F41,H41,J41,L41)&gt;=INDEX(Accessory_Config!$D$6:$D$30,MATCH(C41,Accessory_Config!$B$6:$B$30,0)))</x:f>
      </x:c>
      <x:c r="O41" s="16" t="str">
        <x:f>IF(A41="","",AND(N41,MIN(F41,H41,J41,IF(INDEX(Accessory_Config!$D$6:$D$30,MATCH(C41,Accessory_Config!$B$6:$B$30,0))=4,L41,999))&gt;=INDEX(Accessory_Config!$F$6:$F$30,MATCH(C41,Accessory_Config!$B$6:$B$30,0)),MIN(G41,I41,K41,IF(INDEX(Accessory_Config!$D$6:$D$30,MATCH(C41,Accessory_Config!$B$6:$B$30,0))=4,M41,999))&gt;=2))</x:f>
      </x:c>
      <x:c r="P41" s="19" t="str">
        <x:f>IF(A41="","",IF(E41="","",IF(O41,E41+INDEX(Accessory_Config!$H$6:$H$30,MATCH(C41,Accessory_Config!$B$6:$B$30,0)),E41)))</x:f>
      </x:c>
      <x:c r="Q41" s="17"/>
    </x:row>
    <x:row r="42">
      <x:c r="A42" s="30"/>
      <x:c r="B42" s="17"/>
      <x:c r="C42" s="17"/>
      <x:c r="D42" s="17"/>
      <x:c r="E42" s="31"/>
      <x:c r="F42" s="17"/>
      <x:c r="G42" s="17"/>
      <x:c r="H42" s="17"/>
      <x:c r="I42" s="17"/>
      <x:c r="J42" s="17"/>
      <x:c r="K42" s="17"/>
      <x:c r="L42" s="17"/>
      <x:c r="M42" s="17"/>
      <x:c r="N42" s="16" t="str">
        <x:f>IF(A42="","",COUNT(F42,H42,J42,L42)&gt;=INDEX(Accessory_Config!$D$6:$D$30,MATCH(C42,Accessory_Config!$B$6:$B$30,0)))</x:f>
      </x:c>
      <x:c r="O42" s="16" t="str">
        <x:f>IF(A42="","",AND(N42,MIN(F42,H42,J42,IF(INDEX(Accessory_Config!$D$6:$D$30,MATCH(C42,Accessory_Config!$B$6:$B$30,0))=4,L42,999))&gt;=INDEX(Accessory_Config!$F$6:$F$30,MATCH(C42,Accessory_Config!$B$6:$B$30,0)),MIN(G42,I42,K42,IF(INDEX(Accessory_Config!$D$6:$D$30,MATCH(C42,Accessory_Config!$B$6:$B$30,0))=4,M42,999))&gt;=2))</x:f>
      </x:c>
      <x:c r="P42" s="19" t="str">
        <x:f>IF(A42="","",IF(E42="","",IF(O42,E42+INDEX(Accessory_Config!$H$6:$H$30,MATCH(C42,Accessory_Config!$B$6:$B$30,0)),E42)))</x:f>
      </x:c>
      <x:c r="Q42" s="17"/>
    </x:row>
    <x:row r="43">
      <x:c r="A43" s="30"/>
      <x:c r="B43" s="17"/>
      <x:c r="C43" s="17"/>
      <x:c r="D43" s="17"/>
      <x:c r="E43" s="31"/>
      <x:c r="F43" s="17"/>
      <x:c r="G43" s="17"/>
      <x:c r="H43" s="17"/>
      <x:c r="I43" s="17"/>
      <x:c r="J43" s="17"/>
      <x:c r="K43" s="17"/>
      <x:c r="L43" s="17"/>
      <x:c r="M43" s="17"/>
      <x:c r="N43" s="16" t="str">
        <x:f>IF(A43="","",COUNT(F43,H43,J43,L43)&gt;=INDEX(Accessory_Config!$D$6:$D$30,MATCH(C43,Accessory_Config!$B$6:$B$30,0)))</x:f>
      </x:c>
      <x:c r="O43" s="16" t="str">
        <x:f>IF(A43="","",AND(N43,MIN(F43,H43,J43,IF(INDEX(Accessory_Config!$D$6:$D$30,MATCH(C43,Accessory_Config!$B$6:$B$30,0))=4,L43,999))&gt;=INDEX(Accessory_Config!$F$6:$F$30,MATCH(C43,Accessory_Config!$B$6:$B$30,0)),MIN(G43,I43,K43,IF(INDEX(Accessory_Config!$D$6:$D$30,MATCH(C43,Accessory_Config!$B$6:$B$30,0))=4,M43,999))&gt;=2))</x:f>
      </x:c>
      <x:c r="P43" s="19" t="str">
        <x:f>IF(A43="","",IF(E43="","",IF(O43,E43+INDEX(Accessory_Config!$H$6:$H$30,MATCH(C43,Accessory_Config!$B$6:$B$30,0)),E43)))</x:f>
      </x:c>
      <x:c r="Q43" s="17"/>
    </x:row>
    <x:row r="44">
      <x:c r="A44" s="30"/>
      <x:c r="B44" s="17"/>
      <x:c r="C44" s="17"/>
      <x:c r="D44" s="17"/>
      <x:c r="E44" s="31"/>
      <x:c r="F44" s="17"/>
      <x:c r="G44" s="17"/>
      <x:c r="H44" s="17"/>
      <x:c r="I44" s="17"/>
      <x:c r="J44" s="17"/>
      <x:c r="K44" s="17"/>
      <x:c r="L44" s="17"/>
      <x:c r="M44" s="17"/>
      <x:c r="N44" s="16" t="str">
        <x:f>IF(A44="","",COUNT(F44,H44,J44,L44)&gt;=INDEX(Accessory_Config!$D$6:$D$30,MATCH(C44,Accessory_Config!$B$6:$B$30,0)))</x:f>
      </x:c>
      <x:c r="O44" s="16" t="str">
        <x:f>IF(A44="","",AND(N44,MIN(F44,H44,J44,IF(INDEX(Accessory_Config!$D$6:$D$30,MATCH(C44,Accessory_Config!$B$6:$B$30,0))=4,L44,999))&gt;=INDEX(Accessory_Config!$F$6:$F$30,MATCH(C44,Accessory_Config!$B$6:$B$30,0)),MIN(G44,I44,K44,IF(INDEX(Accessory_Config!$D$6:$D$30,MATCH(C44,Accessory_Config!$B$6:$B$30,0))=4,M44,999))&gt;=2))</x:f>
      </x:c>
      <x:c r="P44" s="19" t="str">
        <x:f>IF(A44="","",IF(E44="","",IF(O44,E44+INDEX(Accessory_Config!$H$6:$H$30,MATCH(C44,Accessory_Config!$B$6:$B$30,0)),E44)))</x:f>
      </x:c>
      <x:c r="Q44" s="17"/>
    </x:row>
    <x:row r="45">
      <x:c r="A45" s="30"/>
      <x:c r="B45" s="17"/>
      <x:c r="C45" s="17"/>
      <x:c r="D45" s="17"/>
      <x:c r="E45" s="31"/>
      <x:c r="F45" s="17"/>
      <x:c r="G45" s="17"/>
      <x:c r="H45" s="17"/>
      <x:c r="I45" s="17"/>
      <x:c r="J45" s="17"/>
      <x:c r="K45" s="17"/>
      <x:c r="L45" s="17"/>
      <x:c r="M45" s="17"/>
      <x:c r="N45" s="16" t="str">
        <x:f>IF(A45="","",COUNT(F45,H45,J45,L45)&gt;=INDEX(Accessory_Config!$D$6:$D$30,MATCH(C45,Accessory_Config!$B$6:$B$30,0)))</x:f>
      </x:c>
      <x:c r="O45" s="16" t="str">
        <x:f>IF(A45="","",AND(N45,MIN(F45,H45,J45,IF(INDEX(Accessory_Config!$D$6:$D$30,MATCH(C45,Accessory_Config!$B$6:$B$30,0))=4,L45,999))&gt;=INDEX(Accessory_Config!$F$6:$F$30,MATCH(C45,Accessory_Config!$B$6:$B$30,0)),MIN(G45,I45,K45,IF(INDEX(Accessory_Config!$D$6:$D$30,MATCH(C45,Accessory_Config!$B$6:$B$30,0))=4,M45,999))&gt;=2))</x:f>
      </x:c>
      <x:c r="P45" s="19" t="str">
        <x:f>IF(A45="","",IF(E45="","",IF(O45,E45+INDEX(Accessory_Config!$H$6:$H$30,MATCH(C45,Accessory_Config!$B$6:$B$30,0)),E45)))</x:f>
      </x:c>
      <x:c r="Q45" s="17"/>
    </x:row>
    <x:row r="46">
      <x:c r="A46" s="30"/>
      <x:c r="B46" s="17"/>
      <x:c r="C46" s="17"/>
      <x:c r="D46" s="17"/>
      <x:c r="E46" s="31"/>
      <x:c r="F46" s="17"/>
      <x:c r="G46" s="17"/>
      <x:c r="H46" s="17"/>
      <x:c r="I46" s="17"/>
      <x:c r="J46" s="17"/>
      <x:c r="K46" s="17"/>
      <x:c r="L46" s="17"/>
      <x:c r="M46" s="17"/>
      <x:c r="N46" s="16" t="str">
        <x:f>IF(A46="","",COUNT(F46,H46,J46,L46)&gt;=INDEX(Accessory_Config!$D$6:$D$30,MATCH(C46,Accessory_Config!$B$6:$B$30,0)))</x:f>
      </x:c>
      <x:c r="O46" s="16" t="str">
        <x:f>IF(A46="","",AND(N46,MIN(F46,H46,J46,IF(INDEX(Accessory_Config!$D$6:$D$30,MATCH(C46,Accessory_Config!$B$6:$B$30,0))=4,L46,999))&gt;=INDEX(Accessory_Config!$F$6:$F$30,MATCH(C46,Accessory_Config!$B$6:$B$30,0)),MIN(G46,I46,K46,IF(INDEX(Accessory_Config!$D$6:$D$30,MATCH(C46,Accessory_Config!$B$6:$B$30,0))=4,M46,999))&gt;=2))</x:f>
      </x:c>
      <x:c r="P46" s="19" t="str">
        <x:f>IF(A46="","",IF(E46="","",IF(O46,E46+INDEX(Accessory_Config!$H$6:$H$30,MATCH(C46,Accessory_Config!$B$6:$B$30,0)),E46)))</x:f>
      </x:c>
      <x:c r="Q46" s="17"/>
    </x:row>
    <x:row r="47">
      <x:c r="A47" s="30"/>
      <x:c r="B47" s="17"/>
      <x:c r="C47" s="17"/>
      <x:c r="D47" s="17"/>
      <x:c r="E47" s="31"/>
      <x:c r="F47" s="17"/>
      <x:c r="G47" s="17"/>
      <x:c r="H47" s="17"/>
      <x:c r="I47" s="17"/>
      <x:c r="J47" s="17"/>
      <x:c r="K47" s="17"/>
      <x:c r="L47" s="17"/>
      <x:c r="M47" s="17"/>
      <x:c r="N47" s="16" t="str">
        <x:f>IF(A47="","",COUNT(F47,H47,J47,L47)&gt;=INDEX(Accessory_Config!$D$6:$D$30,MATCH(C47,Accessory_Config!$B$6:$B$30,0)))</x:f>
      </x:c>
      <x:c r="O47" s="16" t="str">
        <x:f>IF(A47="","",AND(N47,MIN(F47,H47,J47,IF(INDEX(Accessory_Config!$D$6:$D$30,MATCH(C47,Accessory_Config!$B$6:$B$30,0))=4,L47,999))&gt;=INDEX(Accessory_Config!$F$6:$F$30,MATCH(C47,Accessory_Config!$B$6:$B$30,0)),MIN(G47,I47,K47,IF(INDEX(Accessory_Config!$D$6:$D$30,MATCH(C47,Accessory_Config!$B$6:$B$30,0))=4,M47,999))&gt;=2))</x:f>
      </x:c>
      <x:c r="P47" s="19" t="str">
        <x:f>IF(A47="","",IF(E47="","",IF(O47,E47+INDEX(Accessory_Config!$H$6:$H$30,MATCH(C47,Accessory_Config!$B$6:$B$30,0)),E47)))</x:f>
      </x:c>
      <x:c r="Q47" s="17"/>
    </x:row>
    <x:row r="48">
      <x:c r="A48" s="30"/>
      <x:c r="B48" s="17"/>
      <x:c r="C48" s="17"/>
      <x:c r="D48" s="17"/>
      <x:c r="E48" s="31"/>
      <x:c r="F48" s="17"/>
      <x:c r="G48" s="17"/>
      <x:c r="H48" s="17"/>
      <x:c r="I48" s="17"/>
      <x:c r="J48" s="17"/>
      <x:c r="K48" s="17"/>
      <x:c r="L48" s="17"/>
      <x:c r="M48" s="17"/>
      <x:c r="N48" s="16" t="str">
        <x:f>IF(A48="","",COUNT(F48,H48,J48,L48)&gt;=INDEX(Accessory_Config!$D$6:$D$30,MATCH(C48,Accessory_Config!$B$6:$B$30,0)))</x:f>
      </x:c>
      <x:c r="O48" s="16" t="str">
        <x:f>IF(A48="","",AND(N48,MIN(F48,H48,J48,IF(INDEX(Accessory_Config!$D$6:$D$30,MATCH(C48,Accessory_Config!$B$6:$B$30,0))=4,L48,999))&gt;=INDEX(Accessory_Config!$F$6:$F$30,MATCH(C48,Accessory_Config!$B$6:$B$30,0)),MIN(G48,I48,K48,IF(INDEX(Accessory_Config!$D$6:$D$30,MATCH(C48,Accessory_Config!$B$6:$B$30,0))=4,M48,999))&gt;=2))</x:f>
      </x:c>
      <x:c r="P48" s="19" t="str">
        <x:f>IF(A48="","",IF(E48="","",IF(O48,E48+INDEX(Accessory_Config!$H$6:$H$30,MATCH(C48,Accessory_Config!$B$6:$B$30,0)),E48)))</x:f>
      </x:c>
      <x:c r="Q48" s="17"/>
    </x:row>
    <x:row r="49">
      <x:c r="A49" s="30"/>
      <x:c r="B49" s="17"/>
      <x:c r="C49" s="17"/>
      <x:c r="D49" s="17"/>
      <x:c r="E49" s="31"/>
      <x:c r="F49" s="17"/>
      <x:c r="G49" s="17"/>
      <x:c r="H49" s="17"/>
      <x:c r="I49" s="17"/>
      <x:c r="J49" s="17"/>
      <x:c r="K49" s="17"/>
      <x:c r="L49" s="17"/>
      <x:c r="M49" s="17"/>
      <x:c r="N49" s="16" t="str">
        <x:f>IF(A49="","",COUNT(F49,H49,J49,L49)&gt;=INDEX(Accessory_Config!$D$6:$D$30,MATCH(C49,Accessory_Config!$B$6:$B$30,0)))</x:f>
      </x:c>
      <x:c r="O49" s="16" t="str">
        <x:f>IF(A49="","",AND(N49,MIN(F49,H49,J49,IF(INDEX(Accessory_Config!$D$6:$D$30,MATCH(C49,Accessory_Config!$B$6:$B$30,0))=4,L49,999))&gt;=INDEX(Accessory_Config!$F$6:$F$30,MATCH(C49,Accessory_Config!$B$6:$B$30,0)),MIN(G49,I49,K49,IF(INDEX(Accessory_Config!$D$6:$D$30,MATCH(C49,Accessory_Config!$B$6:$B$30,0))=4,M49,999))&gt;=2))</x:f>
      </x:c>
      <x:c r="P49" s="19" t="str">
        <x:f>IF(A49="","",IF(E49="","",IF(O49,E49+INDEX(Accessory_Config!$H$6:$H$30,MATCH(C49,Accessory_Config!$B$6:$B$30,0)),E49)))</x:f>
      </x:c>
      <x:c r="Q49" s="17"/>
    </x:row>
    <x:row r="50">
      <x:c r="A50" s="30"/>
      <x:c r="B50" s="17"/>
      <x:c r="C50" s="17"/>
      <x:c r="D50" s="17"/>
      <x:c r="E50" s="31"/>
      <x:c r="F50" s="17"/>
      <x:c r="G50" s="17"/>
      <x:c r="H50" s="17"/>
      <x:c r="I50" s="17"/>
      <x:c r="J50" s="17"/>
      <x:c r="K50" s="17"/>
      <x:c r="L50" s="17"/>
      <x:c r="M50" s="17"/>
      <x:c r="N50" s="16" t="str">
        <x:f>IF(A50="","",COUNT(F50,H50,J50,L50)&gt;=INDEX(Accessory_Config!$D$6:$D$30,MATCH(C50,Accessory_Config!$B$6:$B$30,0)))</x:f>
      </x:c>
      <x:c r="O50" s="16" t="str">
        <x:f>IF(A50="","",AND(N50,MIN(F50,H50,J50,IF(INDEX(Accessory_Config!$D$6:$D$30,MATCH(C50,Accessory_Config!$B$6:$B$30,0))=4,L50,999))&gt;=INDEX(Accessory_Config!$F$6:$F$30,MATCH(C50,Accessory_Config!$B$6:$B$30,0)),MIN(G50,I50,K50,IF(INDEX(Accessory_Config!$D$6:$D$30,MATCH(C50,Accessory_Config!$B$6:$B$30,0))=4,M50,999))&gt;=2))</x:f>
      </x:c>
      <x:c r="P50" s="19" t="str">
        <x:f>IF(A50="","",IF(E50="","",IF(O50,E50+INDEX(Accessory_Config!$H$6:$H$30,MATCH(C50,Accessory_Config!$B$6:$B$30,0)),E50)))</x:f>
      </x:c>
      <x:c r="Q50" s="17"/>
    </x:row>
    <x:row r="51">
      <x:c r="A51" s="30"/>
      <x:c r="B51" s="17"/>
      <x:c r="C51" s="17"/>
      <x:c r="D51" s="17"/>
      <x:c r="E51" s="31"/>
      <x:c r="F51" s="17"/>
      <x:c r="G51" s="17"/>
      <x:c r="H51" s="17"/>
      <x:c r="I51" s="17"/>
      <x:c r="J51" s="17"/>
      <x:c r="K51" s="17"/>
      <x:c r="L51" s="17"/>
      <x:c r="M51" s="17"/>
      <x:c r="N51" s="16" t="str">
        <x:f>IF(A51="","",COUNT(F51,H51,J51,L51)&gt;=INDEX(Accessory_Config!$D$6:$D$30,MATCH(C51,Accessory_Config!$B$6:$B$30,0)))</x:f>
      </x:c>
      <x:c r="O51" s="16" t="str">
        <x:f>IF(A51="","",AND(N51,MIN(F51,H51,J51,IF(INDEX(Accessory_Config!$D$6:$D$30,MATCH(C51,Accessory_Config!$B$6:$B$30,0))=4,L51,999))&gt;=INDEX(Accessory_Config!$F$6:$F$30,MATCH(C51,Accessory_Config!$B$6:$B$30,0)),MIN(G51,I51,K51,IF(INDEX(Accessory_Config!$D$6:$D$30,MATCH(C51,Accessory_Config!$B$6:$B$30,0))=4,M51,999))&gt;=2))</x:f>
      </x:c>
      <x:c r="P51" s="19" t="str">
        <x:f>IF(A51="","",IF(E51="","",IF(O51,E51+INDEX(Accessory_Config!$H$6:$H$30,MATCH(C51,Accessory_Config!$B$6:$B$30,0)),E51)))</x:f>
      </x:c>
      <x:c r="Q51" s="17"/>
    </x:row>
    <x:row r="52">
      <x:c r="A52" s="30"/>
      <x:c r="B52" s="17"/>
      <x:c r="C52" s="17"/>
      <x:c r="D52" s="17"/>
      <x:c r="E52" s="31"/>
      <x:c r="F52" s="17"/>
      <x:c r="G52" s="17"/>
      <x:c r="H52" s="17"/>
      <x:c r="I52" s="17"/>
      <x:c r="J52" s="17"/>
      <x:c r="K52" s="17"/>
      <x:c r="L52" s="17"/>
      <x:c r="M52" s="17"/>
      <x:c r="N52" s="16" t="str">
        <x:f>IF(A52="","",COUNT(F52,H52,J52,L52)&gt;=INDEX(Accessory_Config!$D$6:$D$30,MATCH(C52,Accessory_Config!$B$6:$B$30,0)))</x:f>
      </x:c>
      <x:c r="O52" s="16" t="str">
        <x:f>IF(A52="","",AND(N52,MIN(F52,H52,J52,IF(INDEX(Accessory_Config!$D$6:$D$30,MATCH(C52,Accessory_Config!$B$6:$B$30,0))=4,L52,999))&gt;=INDEX(Accessory_Config!$F$6:$F$30,MATCH(C52,Accessory_Config!$B$6:$B$30,0)),MIN(G52,I52,K52,IF(INDEX(Accessory_Config!$D$6:$D$30,MATCH(C52,Accessory_Config!$B$6:$B$30,0))=4,M52,999))&gt;=2))</x:f>
      </x:c>
      <x:c r="P52" s="19" t="str">
        <x:f>IF(A52="","",IF(E52="","",IF(O52,E52+INDEX(Accessory_Config!$H$6:$H$30,MATCH(C52,Accessory_Config!$B$6:$B$30,0)),E52)))</x:f>
      </x:c>
      <x:c r="Q52" s="17"/>
    </x:row>
    <x:row r="53">
      <x:c r="A53" s="30"/>
      <x:c r="B53" s="17"/>
      <x:c r="C53" s="17"/>
      <x:c r="D53" s="17"/>
      <x:c r="E53" s="31"/>
      <x:c r="F53" s="17"/>
      <x:c r="G53" s="17"/>
      <x:c r="H53" s="17"/>
      <x:c r="I53" s="17"/>
      <x:c r="J53" s="17"/>
      <x:c r="K53" s="17"/>
      <x:c r="L53" s="17"/>
      <x:c r="M53" s="17"/>
      <x:c r="N53" s="16" t="str">
        <x:f>IF(A53="","",COUNT(F53,H53,J53,L53)&gt;=INDEX(Accessory_Config!$D$6:$D$30,MATCH(C53,Accessory_Config!$B$6:$B$30,0)))</x:f>
      </x:c>
      <x:c r="O53" s="16" t="str">
        <x:f>IF(A53="","",AND(N53,MIN(F53,H53,J53,IF(INDEX(Accessory_Config!$D$6:$D$30,MATCH(C53,Accessory_Config!$B$6:$B$30,0))=4,L53,999))&gt;=INDEX(Accessory_Config!$F$6:$F$30,MATCH(C53,Accessory_Config!$B$6:$B$30,0)),MIN(G53,I53,K53,IF(INDEX(Accessory_Config!$D$6:$D$30,MATCH(C53,Accessory_Config!$B$6:$B$30,0))=4,M53,999))&gt;=2))</x:f>
      </x:c>
      <x:c r="P53" s="19" t="str">
        <x:f>IF(A53="","",IF(E53="","",IF(O53,E53+INDEX(Accessory_Config!$H$6:$H$30,MATCH(C53,Accessory_Config!$B$6:$B$30,0)),E53)))</x:f>
      </x:c>
      <x:c r="Q53" s="17"/>
    </x:row>
    <x:row r="54">
      <x:c r="A54" s="30"/>
      <x:c r="B54" s="17"/>
      <x:c r="C54" s="17"/>
      <x:c r="D54" s="17"/>
      <x:c r="E54" s="31"/>
      <x:c r="F54" s="17"/>
      <x:c r="G54" s="17"/>
      <x:c r="H54" s="17"/>
      <x:c r="I54" s="17"/>
      <x:c r="J54" s="17"/>
      <x:c r="K54" s="17"/>
      <x:c r="L54" s="17"/>
      <x:c r="M54" s="17"/>
      <x:c r="N54" s="16" t="str">
        <x:f>IF(A54="","",COUNT(F54,H54,J54,L54)&gt;=INDEX(Accessory_Config!$D$6:$D$30,MATCH(C54,Accessory_Config!$B$6:$B$30,0)))</x:f>
      </x:c>
      <x:c r="O54" s="16" t="str">
        <x:f>IF(A54="","",AND(N54,MIN(F54,H54,J54,IF(INDEX(Accessory_Config!$D$6:$D$30,MATCH(C54,Accessory_Config!$B$6:$B$30,0))=4,L54,999))&gt;=INDEX(Accessory_Config!$F$6:$F$30,MATCH(C54,Accessory_Config!$B$6:$B$30,0)),MIN(G54,I54,K54,IF(INDEX(Accessory_Config!$D$6:$D$30,MATCH(C54,Accessory_Config!$B$6:$B$30,0))=4,M54,999))&gt;=2))</x:f>
      </x:c>
      <x:c r="P54" s="19" t="str">
        <x:f>IF(A54="","",IF(E54="","",IF(O54,E54+INDEX(Accessory_Config!$H$6:$H$30,MATCH(C54,Accessory_Config!$B$6:$B$30,0)),E54)))</x:f>
      </x:c>
      <x:c r="Q54" s="17"/>
    </x:row>
    <x:row r="55">
      <x:c r="A55" s="30"/>
      <x:c r="B55" s="17"/>
      <x:c r="C55" s="17"/>
      <x:c r="D55" s="17"/>
      <x:c r="E55" s="31"/>
      <x:c r="F55" s="17"/>
      <x:c r="G55" s="17"/>
      <x:c r="H55" s="17"/>
      <x:c r="I55" s="17"/>
      <x:c r="J55" s="17"/>
      <x:c r="K55" s="17"/>
      <x:c r="L55" s="17"/>
      <x:c r="M55" s="17"/>
      <x:c r="N55" s="16" t="str">
        <x:f>IF(A55="","",COUNT(F55,H55,J55,L55)&gt;=INDEX(Accessory_Config!$D$6:$D$30,MATCH(C55,Accessory_Config!$B$6:$B$30,0)))</x:f>
      </x:c>
      <x:c r="O55" s="16" t="str">
        <x:f>IF(A55="","",AND(N55,MIN(F55,H55,J55,IF(INDEX(Accessory_Config!$D$6:$D$30,MATCH(C55,Accessory_Config!$B$6:$B$30,0))=4,L55,999))&gt;=INDEX(Accessory_Config!$F$6:$F$30,MATCH(C55,Accessory_Config!$B$6:$B$30,0)),MIN(G55,I55,K55,IF(INDEX(Accessory_Config!$D$6:$D$30,MATCH(C55,Accessory_Config!$B$6:$B$30,0))=4,M55,999))&gt;=2))</x:f>
      </x:c>
      <x:c r="P55" s="19" t="str">
        <x:f>IF(A55="","",IF(E55="","",IF(O55,E55+INDEX(Accessory_Config!$H$6:$H$30,MATCH(C55,Accessory_Config!$B$6:$B$30,0)),E55)))</x:f>
      </x:c>
      <x:c r="Q55" s="17"/>
    </x:row>
    <x:row r="56">
      <x:c r="A56" s="30"/>
      <x:c r="B56" s="17"/>
      <x:c r="C56" s="17"/>
      <x:c r="D56" s="17"/>
      <x:c r="E56" s="31"/>
      <x:c r="F56" s="17"/>
      <x:c r="G56" s="17"/>
      <x:c r="H56" s="17"/>
      <x:c r="I56" s="17"/>
      <x:c r="J56" s="17"/>
      <x:c r="K56" s="17"/>
      <x:c r="L56" s="17"/>
      <x:c r="M56" s="17"/>
      <x:c r="N56" s="16" t="str">
        <x:f>IF(A56="","",COUNT(F56,H56,J56,L56)&gt;=INDEX(Accessory_Config!$D$6:$D$30,MATCH(C56,Accessory_Config!$B$6:$B$30,0)))</x:f>
      </x:c>
      <x:c r="O56" s="16" t="str">
        <x:f>IF(A56="","",AND(N56,MIN(F56,H56,J56,IF(INDEX(Accessory_Config!$D$6:$D$30,MATCH(C56,Accessory_Config!$B$6:$B$30,0))=4,L56,999))&gt;=INDEX(Accessory_Config!$F$6:$F$30,MATCH(C56,Accessory_Config!$B$6:$B$30,0)),MIN(G56,I56,K56,IF(INDEX(Accessory_Config!$D$6:$D$30,MATCH(C56,Accessory_Config!$B$6:$B$30,0))=4,M56,999))&gt;=2))</x:f>
      </x:c>
      <x:c r="P56" s="19" t="str">
        <x:f>IF(A56="","",IF(E56="","",IF(O56,E56+INDEX(Accessory_Config!$H$6:$H$30,MATCH(C56,Accessory_Config!$B$6:$B$30,0)),E56)))</x:f>
      </x:c>
      <x:c r="Q56" s="17"/>
    </x:row>
    <x:row r="57">
      <x:c r="A57" s="30"/>
      <x:c r="B57" s="17"/>
      <x:c r="C57" s="17"/>
      <x:c r="D57" s="17"/>
      <x:c r="E57" s="31"/>
      <x:c r="F57" s="17"/>
      <x:c r="G57" s="17"/>
      <x:c r="H57" s="17"/>
      <x:c r="I57" s="17"/>
      <x:c r="J57" s="17"/>
      <x:c r="K57" s="17"/>
      <x:c r="L57" s="17"/>
      <x:c r="M57" s="17"/>
      <x:c r="N57" s="16" t="str">
        <x:f>IF(A57="","",COUNT(F57,H57,J57,L57)&gt;=INDEX(Accessory_Config!$D$6:$D$30,MATCH(C57,Accessory_Config!$B$6:$B$30,0)))</x:f>
      </x:c>
      <x:c r="O57" s="16" t="str">
        <x:f>IF(A57="","",AND(N57,MIN(F57,H57,J57,IF(INDEX(Accessory_Config!$D$6:$D$30,MATCH(C57,Accessory_Config!$B$6:$B$30,0))=4,L57,999))&gt;=INDEX(Accessory_Config!$F$6:$F$30,MATCH(C57,Accessory_Config!$B$6:$B$30,0)),MIN(G57,I57,K57,IF(INDEX(Accessory_Config!$D$6:$D$30,MATCH(C57,Accessory_Config!$B$6:$B$30,0))=4,M57,999))&gt;=2))</x:f>
      </x:c>
      <x:c r="P57" s="19" t="str">
        <x:f>IF(A57="","",IF(E57="","",IF(O57,E57+INDEX(Accessory_Config!$H$6:$H$30,MATCH(C57,Accessory_Config!$B$6:$B$30,0)),E57)))</x:f>
      </x:c>
      <x:c r="Q57" s="17"/>
    </x:row>
    <x:row r="58">
      <x:c r="A58" s="30"/>
      <x:c r="B58" s="17"/>
      <x:c r="C58" s="17"/>
      <x:c r="D58" s="17"/>
      <x:c r="E58" s="31"/>
      <x:c r="F58" s="17"/>
      <x:c r="G58" s="17"/>
      <x:c r="H58" s="17"/>
      <x:c r="I58" s="17"/>
      <x:c r="J58" s="17"/>
      <x:c r="K58" s="17"/>
      <x:c r="L58" s="17"/>
      <x:c r="M58" s="17"/>
      <x:c r="N58" s="16" t="str">
        <x:f>IF(A58="","",COUNT(F58,H58,J58,L58)&gt;=INDEX(Accessory_Config!$D$6:$D$30,MATCH(C58,Accessory_Config!$B$6:$B$30,0)))</x:f>
      </x:c>
      <x:c r="O58" s="16" t="str">
        <x:f>IF(A58="","",AND(N58,MIN(F58,H58,J58,IF(INDEX(Accessory_Config!$D$6:$D$30,MATCH(C58,Accessory_Config!$B$6:$B$30,0))=4,L58,999))&gt;=INDEX(Accessory_Config!$F$6:$F$30,MATCH(C58,Accessory_Config!$B$6:$B$30,0)),MIN(G58,I58,K58,IF(INDEX(Accessory_Config!$D$6:$D$30,MATCH(C58,Accessory_Config!$B$6:$B$30,0))=4,M58,999))&gt;=2))</x:f>
      </x:c>
      <x:c r="P58" s="19" t="str">
        <x:f>IF(A58="","",IF(E58="","",IF(O58,E58+INDEX(Accessory_Config!$H$6:$H$30,MATCH(C58,Accessory_Config!$B$6:$B$30,0)),E58)))</x:f>
      </x:c>
      <x:c r="Q58" s="17"/>
    </x:row>
    <x:row r="59">
      <x:c r="A59" s="30"/>
      <x:c r="B59" s="17"/>
      <x:c r="C59" s="17"/>
      <x:c r="D59" s="17"/>
      <x:c r="E59" s="31"/>
      <x:c r="F59" s="17"/>
      <x:c r="G59" s="17"/>
      <x:c r="H59" s="17"/>
      <x:c r="I59" s="17"/>
      <x:c r="J59" s="17"/>
      <x:c r="K59" s="17"/>
      <x:c r="L59" s="17"/>
      <x:c r="M59" s="17"/>
      <x:c r="N59" s="16" t="str">
        <x:f>IF(A59="","",COUNT(F59,H59,J59,L59)&gt;=INDEX(Accessory_Config!$D$6:$D$30,MATCH(C59,Accessory_Config!$B$6:$B$30,0)))</x:f>
      </x:c>
      <x:c r="O59" s="16" t="str">
        <x:f>IF(A59="","",AND(N59,MIN(F59,H59,J59,IF(INDEX(Accessory_Config!$D$6:$D$30,MATCH(C59,Accessory_Config!$B$6:$B$30,0))=4,L59,999))&gt;=INDEX(Accessory_Config!$F$6:$F$30,MATCH(C59,Accessory_Config!$B$6:$B$30,0)),MIN(G59,I59,K59,IF(INDEX(Accessory_Config!$D$6:$D$30,MATCH(C59,Accessory_Config!$B$6:$B$30,0))=4,M59,999))&gt;=2))</x:f>
      </x:c>
      <x:c r="P59" s="19" t="str">
        <x:f>IF(A59="","",IF(E59="","",IF(O59,E59+INDEX(Accessory_Config!$H$6:$H$30,MATCH(C59,Accessory_Config!$B$6:$B$30,0)),E59)))</x:f>
      </x:c>
      <x:c r="Q59" s="17"/>
    </x:row>
    <x:row r="60">
      <x:c r="A60" s="30"/>
      <x:c r="B60" s="17"/>
      <x:c r="C60" s="17"/>
      <x:c r="D60" s="17"/>
      <x:c r="E60" s="31"/>
      <x:c r="F60" s="17"/>
      <x:c r="G60" s="17"/>
      <x:c r="H60" s="17"/>
      <x:c r="I60" s="17"/>
      <x:c r="J60" s="17"/>
      <x:c r="K60" s="17"/>
      <x:c r="L60" s="17"/>
      <x:c r="M60" s="17"/>
      <x:c r="N60" s="16" t="str">
        <x:f>IF(A60="","",COUNT(F60,H60,J60,L60)&gt;=INDEX(Accessory_Config!$D$6:$D$30,MATCH(C60,Accessory_Config!$B$6:$B$30,0)))</x:f>
      </x:c>
      <x:c r="O60" s="16" t="str">
        <x:f>IF(A60="","",AND(N60,MIN(F60,H60,J60,IF(INDEX(Accessory_Config!$D$6:$D$30,MATCH(C60,Accessory_Config!$B$6:$B$30,0))=4,L60,999))&gt;=INDEX(Accessory_Config!$F$6:$F$30,MATCH(C60,Accessory_Config!$B$6:$B$30,0)),MIN(G60,I60,K60,IF(INDEX(Accessory_Config!$D$6:$D$30,MATCH(C60,Accessory_Config!$B$6:$B$30,0))=4,M60,999))&gt;=2))</x:f>
      </x:c>
      <x:c r="P60" s="19" t="str">
        <x:f>IF(A60="","",IF(E60="","",IF(O60,E60+INDEX(Accessory_Config!$H$6:$H$30,MATCH(C60,Accessory_Config!$B$6:$B$30,0)),E60)))</x:f>
      </x:c>
      <x:c r="Q60" s="17"/>
    </x:row>
    <x:row r="61">
      <x:c r="A61" s="30"/>
      <x:c r="B61" s="17"/>
      <x:c r="C61" s="17"/>
      <x:c r="D61" s="17"/>
      <x:c r="E61" s="31"/>
      <x:c r="F61" s="17"/>
      <x:c r="G61" s="17"/>
      <x:c r="H61" s="17"/>
      <x:c r="I61" s="17"/>
      <x:c r="J61" s="17"/>
      <x:c r="K61" s="17"/>
      <x:c r="L61" s="17"/>
      <x:c r="M61" s="17"/>
      <x:c r="N61" s="16" t="str">
        <x:f>IF(A61="","",COUNT(F61,H61,J61,L61)&gt;=INDEX(Accessory_Config!$D$6:$D$30,MATCH(C61,Accessory_Config!$B$6:$B$30,0)))</x:f>
      </x:c>
      <x:c r="O61" s="16" t="str">
        <x:f>IF(A61="","",AND(N61,MIN(F61,H61,J61,IF(INDEX(Accessory_Config!$D$6:$D$30,MATCH(C61,Accessory_Config!$B$6:$B$30,0))=4,L61,999))&gt;=INDEX(Accessory_Config!$F$6:$F$30,MATCH(C61,Accessory_Config!$B$6:$B$30,0)),MIN(G61,I61,K61,IF(INDEX(Accessory_Config!$D$6:$D$30,MATCH(C61,Accessory_Config!$B$6:$B$30,0))=4,M61,999))&gt;=2))</x:f>
      </x:c>
      <x:c r="P61" s="19" t="str">
        <x:f>IF(A61="","",IF(E61="","",IF(O61,E61+INDEX(Accessory_Config!$H$6:$H$30,MATCH(C61,Accessory_Config!$B$6:$B$30,0)),E61)))</x:f>
      </x:c>
      <x:c r="Q61" s="17"/>
    </x:row>
    <x:row r="62">
      <x:c r="A62" s="30"/>
      <x:c r="B62" s="17"/>
      <x:c r="C62" s="17"/>
      <x:c r="D62" s="17"/>
      <x:c r="E62" s="31"/>
      <x:c r="F62" s="17"/>
      <x:c r="G62" s="17"/>
      <x:c r="H62" s="17"/>
      <x:c r="I62" s="17"/>
      <x:c r="J62" s="17"/>
      <x:c r="K62" s="17"/>
      <x:c r="L62" s="17"/>
      <x:c r="M62" s="17"/>
      <x:c r="N62" s="16" t="str">
        <x:f>IF(A62="","",COUNT(F62,H62,J62,L62)&gt;=INDEX(Accessory_Config!$D$6:$D$30,MATCH(C62,Accessory_Config!$B$6:$B$30,0)))</x:f>
      </x:c>
      <x:c r="O62" s="16" t="str">
        <x:f>IF(A62="","",AND(N62,MIN(F62,H62,J62,IF(INDEX(Accessory_Config!$D$6:$D$30,MATCH(C62,Accessory_Config!$B$6:$B$30,0))=4,L62,999))&gt;=INDEX(Accessory_Config!$F$6:$F$30,MATCH(C62,Accessory_Config!$B$6:$B$30,0)),MIN(G62,I62,K62,IF(INDEX(Accessory_Config!$D$6:$D$30,MATCH(C62,Accessory_Config!$B$6:$B$30,0))=4,M62,999))&gt;=2))</x:f>
      </x:c>
      <x:c r="P62" s="19" t="str">
        <x:f>IF(A62="","",IF(E62="","",IF(O62,E62+INDEX(Accessory_Config!$H$6:$H$30,MATCH(C62,Accessory_Config!$B$6:$B$30,0)),E62)))</x:f>
      </x:c>
      <x:c r="Q62" s="17"/>
    </x:row>
    <x:row r="63">
      <x:c r="A63" s="30"/>
      <x:c r="B63" s="17"/>
      <x:c r="C63" s="17"/>
      <x:c r="D63" s="17"/>
      <x:c r="E63" s="31"/>
      <x:c r="F63" s="17"/>
      <x:c r="G63" s="17"/>
      <x:c r="H63" s="17"/>
      <x:c r="I63" s="17"/>
      <x:c r="J63" s="17"/>
      <x:c r="K63" s="17"/>
      <x:c r="L63" s="17"/>
      <x:c r="M63" s="17"/>
      <x:c r="N63" s="16" t="str">
        <x:f>IF(A63="","",COUNT(F63,H63,J63,L63)&gt;=INDEX(Accessory_Config!$D$6:$D$30,MATCH(C63,Accessory_Config!$B$6:$B$30,0)))</x:f>
      </x:c>
      <x:c r="O63" s="16" t="str">
        <x:f>IF(A63="","",AND(N63,MIN(F63,H63,J63,IF(INDEX(Accessory_Config!$D$6:$D$30,MATCH(C63,Accessory_Config!$B$6:$B$30,0))=4,L63,999))&gt;=INDEX(Accessory_Config!$F$6:$F$30,MATCH(C63,Accessory_Config!$B$6:$B$30,0)),MIN(G63,I63,K63,IF(INDEX(Accessory_Config!$D$6:$D$30,MATCH(C63,Accessory_Config!$B$6:$B$30,0))=4,M63,999))&gt;=2))</x:f>
      </x:c>
      <x:c r="P63" s="19" t="str">
        <x:f>IF(A63="","",IF(E63="","",IF(O63,E63+INDEX(Accessory_Config!$H$6:$H$30,MATCH(C63,Accessory_Config!$B$6:$B$30,0)),E63)))</x:f>
      </x:c>
      <x:c r="Q63" s="17"/>
    </x:row>
    <x:row r="64">
      <x:c r="A64" s="30"/>
      <x:c r="B64" s="17"/>
      <x:c r="C64" s="17"/>
      <x:c r="D64" s="17"/>
      <x:c r="E64" s="31"/>
      <x:c r="F64" s="17"/>
      <x:c r="G64" s="17"/>
      <x:c r="H64" s="17"/>
      <x:c r="I64" s="17"/>
      <x:c r="J64" s="17"/>
      <x:c r="K64" s="17"/>
      <x:c r="L64" s="17"/>
      <x:c r="M64" s="17"/>
      <x:c r="N64" s="16" t="str">
        <x:f>IF(A64="","",COUNT(F64,H64,J64,L64)&gt;=INDEX(Accessory_Config!$D$6:$D$30,MATCH(C64,Accessory_Config!$B$6:$B$30,0)))</x:f>
      </x:c>
      <x:c r="O64" s="16" t="str">
        <x:f>IF(A64="","",AND(N64,MIN(F64,H64,J64,IF(INDEX(Accessory_Config!$D$6:$D$30,MATCH(C64,Accessory_Config!$B$6:$B$30,0))=4,L64,999))&gt;=INDEX(Accessory_Config!$F$6:$F$30,MATCH(C64,Accessory_Config!$B$6:$B$30,0)),MIN(G64,I64,K64,IF(INDEX(Accessory_Config!$D$6:$D$30,MATCH(C64,Accessory_Config!$B$6:$B$30,0))=4,M64,999))&gt;=2))</x:f>
      </x:c>
      <x:c r="P64" s="19" t="str">
        <x:f>IF(A64="","",IF(E64="","",IF(O64,E64+INDEX(Accessory_Config!$H$6:$H$30,MATCH(C64,Accessory_Config!$B$6:$B$30,0)),E64)))</x:f>
      </x:c>
      <x:c r="Q64" s="17"/>
    </x:row>
    <x:row r="65">
      <x:c r="A65" s="30"/>
      <x:c r="B65" s="17"/>
      <x:c r="C65" s="17"/>
      <x:c r="D65" s="17"/>
      <x:c r="E65" s="31"/>
      <x:c r="F65" s="17"/>
      <x:c r="G65" s="17"/>
      <x:c r="H65" s="17"/>
      <x:c r="I65" s="17"/>
      <x:c r="J65" s="17"/>
      <x:c r="K65" s="17"/>
      <x:c r="L65" s="17"/>
      <x:c r="M65" s="17"/>
      <x:c r="N65" s="16" t="str">
        <x:f>IF(A65="","",COUNT(F65,H65,J65,L65)&gt;=INDEX(Accessory_Config!$D$6:$D$30,MATCH(C65,Accessory_Config!$B$6:$B$30,0)))</x:f>
      </x:c>
      <x:c r="O65" s="16" t="str">
        <x:f>IF(A65="","",AND(N65,MIN(F65,H65,J65,IF(INDEX(Accessory_Config!$D$6:$D$30,MATCH(C65,Accessory_Config!$B$6:$B$30,0))=4,L65,999))&gt;=INDEX(Accessory_Config!$F$6:$F$30,MATCH(C65,Accessory_Config!$B$6:$B$30,0)),MIN(G65,I65,K65,IF(INDEX(Accessory_Config!$D$6:$D$30,MATCH(C65,Accessory_Config!$B$6:$B$30,0))=4,M65,999))&gt;=2))</x:f>
      </x:c>
      <x:c r="P65" s="19" t="str">
        <x:f>IF(A65="","",IF(E65="","",IF(O65,E65+INDEX(Accessory_Config!$H$6:$H$30,MATCH(C65,Accessory_Config!$B$6:$B$30,0)),E65)))</x:f>
      </x:c>
      <x:c r="Q65" s="17"/>
    </x:row>
    <x:row r="66">
      <x:c r="A66" s="30"/>
      <x:c r="B66" s="17"/>
      <x:c r="C66" s="17"/>
      <x:c r="D66" s="17"/>
      <x:c r="E66" s="31"/>
      <x:c r="F66" s="17"/>
      <x:c r="G66" s="17"/>
      <x:c r="H66" s="17"/>
      <x:c r="I66" s="17"/>
      <x:c r="J66" s="17"/>
      <x:c r="K66" s="17"/>
      <x:c r="L66" s="17"/>
      <x:c r="M66" s="17"/>
      <x:c r="N66" s="16" t="str">
        <x:f>IF(A66="","",COUNT(F66,H66,J66,L66)&gt;=INDEX(Accessory_Config!$D$6:$D$30,MATCH(C66,Accessory_Config!$B$6:$B$30,0)))</x:f>
      </x:c>
      <x:c r="O66" s="16" t="str">
        <x:f>IF(A66="","",AND(N66,MIN(F66,H66,J66,IF(INDEX(Accessory_Config!$D$6:$D$30,MATCH(C66,Accessory_Config!$B$6:$B$30,0))=4,L66,999))&gt;=INDEX(Accessory_Config!$F$6:$F$30,MATCH(C66,Accessory_Config!$B$6:$B$30,0)),MIN(G66,I66,K66,IF(INDEX(Accessory_Config!$D$6:$D$30,MATCH(C66,Accessory_Config!$B$6:$B$30,0))=4,M66,999))&gt;=2))</x:f>
      </x:c>
      <x:c r="P66" s="19" t="str">
        <x:f>IF(A66="","",IF(E66="","",IF(O66,E66+INDEX(Accessory_Config!$H$6:$H$30,MATCH(C66,Accessory_Config!$B$6:$B$30,0)),E66)))</x:f>
      </x:c>
      <x:c r="Q66" s="17"/>
    </x:row>
    <x:row r="67">
      <x:c r="A67" s="30"/>
      <x:c r="B67" s="17"/>
      <x:c r="C67" s="17"/>
      <x:c r="D67" s="17"/>
      <x:c r="E67" s="31"/>
      <x:c r="F67" s="17"/>
      <x:c r="G67" s="17"/>
      <x:c r="H67" s="17"/>
      <x:c r="I67" s="17"/>
      <x:c r="J67" s="17"/>
      <x:c r="K67" s="17"/>
      <x:c r="L67" s="17"/>
      <x:c r="M67" s="17"/>
      <x:c r="N67" s="16" t="str">
        <x:f>IF(A67="","",COUNT(F67,H67,J67,L67)&gt;=INDEX(Accessory_Config!$D$6:$D$30,MATCH(C67,Accessory_Config!$B$6:$B$30,0)))</x:f>
      </x:c>
      <x:c r="O67" s="16" t="str">
        <x:f>IF(A67="","",AND(N67,MIN(F67,H67,J67,IF(INDEX(Accessory_Config!$D$6:$D$30,MATCH(C67,Accessory_Config!$B$6:$B$30,0))=4,L67,999))&gt;=INDEX(Accessory_Config!$F$6:$F$30,MATCH(C67,Accessory_Config!$B$6:$B$30,0)),MIN(G67,I67,K67,IF(INDEX(Accessory_Config!$D$6:$D$30,MATCH(C67,Accessory_Config!$B$6:$B$30,0))=4,M67,999))&gt;=2))</x:f>
      </x:c>
      <x:c r="P67" s="19" t="str">
        <x:f>IF(A67="","",IF(E67="","",IF(O67,E67+INDEX(Accessory_Config!$H$6:$H$30,MATCH(C67,Accessory_Config!$B$6:$B$30,0)),E67)))</x:f>
      </x:c>
      <x:c r="Q67" s="17"/>
    </x:row>
    <x:row r="68">
      <x:c r="A68" s="30"/>
      <x:c r="B68" s="17"/>
      <x:c r="C68" s="17"/>
      <x:c r="D68" s="17"/>
      <x:c r="E68" s="31"/>
      <x:c r="F68" s="17"/>
      <x:c r="G68" s="17"/>
      <x:c r="H68" s="17"/>
      <x:c r="I68" s="17"/>
      <x:c r="J68" s="17"/>
      <x:c r="K68" s="17"/>
      <x:c r="L68" s="17"/>
      <x:c r="M68" s="17"/>
      <x:c r="N68" s="16" t="str">
        <x:f>IF(A68="","",COUNT(F68,H68,J68,L68)&gt;=INDEX(Accessory_Config!$D$6:$D$30,MATCH(C68,Accessory_Config!$B$6:$B$30,0)))</x:f>
      </x:c>
      <x:c r="O68" s="16" t="str">
        <x:f>IF(A68="","",AND(N68,MIN(F68,H68,J68,IF(INDEX(Accessory_Config!$D$6:$D$30,MATCH(C68,Accessory_Config!$B$6:$B$30,0))=4,L68,999))&gt;=INDEX(Accessory_Config!$F$6:$F$30,MATCH(C68,Accessory_Config!$B$6:$B$30,0)),MIN(G68,I68,K68,IF(INDEX(Accessory_Config!$D$6:$D$30,MATCH(C68,Accessory_Config!$B$6:$B$30,0))=4,M68,999))&gt;=2))</x:f>
      </x:c>
      <x:c r="P68" s="19" t="str">
        <x:f>IF(A68="","",IF(E68="","",IF(O68,E68+INDEX(Accessory_Config!$H$6:$H$30,MATCH(C68,Accessory_Config!$B$6:$B$30,0)),E68)))</x:f>
      </x:c>
      <x:c r="Q68" s="17"/>
    </x:row>
    <x:row r="69">
      <x:c r="A69" s="30"/>
      <x:c r="B69" s="17"/>
      <x:c r="C69" s="17"/>
      <x:c r="D69" s="17"/>
      <x:c r="E69" s="31"/>
      <x:c r="F69" s="17"/>
      <x:c r="G69" s="17"/>
      <x:c r="H69" s="17"/>
      <x:c r="I69" s="17"/>
      <x:c r="J69" s="17"/>
      <x:c r="K69" s="17"/>
      <x:c r="L69" s="17"/>
      <x:c r="M69" s="17"/>
      <x:c r="N69" s="16" t="str">
        <x:f>IF(A69="","",COUNT(F69,H69,J69,L69)&gt;=INDEX(Accessory_Config!$D$6:$D$30,MATCH(C69,Accessory_Config!$B$6:$B$30,0)))</x:f>
      </x:c>
      <x:c r="O69" s="16" t="str">
        <x:f>IF(A69="","",AND(N69,MIN(F69,H69,J69,IF(INDEX(Accessory_Config!$D$6:$D$30,MATCH(C69,Accessory_Config!$B$6:$B$30,0))=4,L69,999))&gt;=INDEX(Accessory_Config!$F$6:$F$30,MATCH(C69,Accessory_Config!$B$6:$B$30,0)),MIN(G69,I69,K69,IF(INDEX(Accessory_Config!$D$6:$D$30,MATCH(C69,Accessory_Config!$B$6:$B$30,0))=4,M69,999))&gt;=2))</x:f>
      </x:c>
      <x:c r="P69" s="19" t="str">
        <x:f>IF(A69="","",IF(E69="","",IF(O69,E69+INDEX(Accessory_Config!$H$6:$H$30,MATCH(C69,Accessory_Config!$B$6:$B$30,0)),E69)))</x:f>
      </x:c>
      <x:c r="Q69" s="17"/>
    </x:row>
    <x:row r="70">
      <x:c r="A70" s="30"/>
      <x:c r="B70" s="17"/>
      <x:c r="C70" s="17"/>
      <x:c r="D70" s="17"/>
      <x:c r="E70" s="31"/>
      <x:c r="F70" s="17"/>
      <x:c r="G70" s="17"/>
      <x:c r="H70" s="17"/>
      <x:c r="I70" s="17"/>
      <x:c r="J70" s="17"/>
      <x:c r="K70" s="17"/>
      <x:c r="L70" s="17"/>
      <x:c r="M70" s="17"/>
      <x:c r="N70" s="16" t="str">
        <x:f>IF(A70="","",COUNT(F70,H70,J70,L70)&gt;=INDEX(Accessory_Config!$D$6:$D$30,MATCH(C70,Accessory_Config!$B$6:$B$30,0)))</x:f>
      </x:c>
      <x:c r="O70" s="16" t="str">
        <x:f>IF(A70="","",AND(N70,MIN(F70,H70,J70,IF(INDEX(Accessory_Config!$D$6:$D$30,MATCH(C70,Accessory_Config!$B$6:$B$30,0))=4,L70,999))&gt;=INDEX(Accessory_Config!$F$6:$F$30,MATCH(C70,Accessory_Config!$B$6:$B$30,0)),MIN(G70,I70,K70,IF(INDEX(Accessory_Config!$D$6:$D$30,MATCH(C70,Accessory_Config!$B$6:$B$30,0))=4,M70,999))&gt;=2))</x:f>
      </x:c>
      <x:c r="P70" s="19" t="str">
        <x:f>IF(A70="","",IF(E70="","",IF(O70,E70+INDEX(Accessory_Config!$H$6:$H$30,MATCH(C70,Accessory_Config!$B$6:$B$30,0)),E70)))</x:f>
      </x:c>
      <x:c r="Q70" s="17"/>
    </x:row>
    <x:row r="71">
      <x:c r="A71" s="30"/>
      <x:c r="B71" s="17"/>
      <x:c r="C71" s="17"/>
      <x:c r="D71" s="17"/>
      <x:c r="E71" s="31"/>
      <x:c r="F71" s="17"/>
      <x:c r="G71" s="17"/>
      <x:c r="H71" s="17"/>
      <x:c r="I71" s="17"/>
      <x:c r="J71" s="17"/>
      <x:c r="K71" s="17"/>
      <x:c r="L71" s="17"/>
      <x:c r="M71" s="17"/>
      <x:c r="N71" s="16" t="str">
        <x:f>IF(A71="","",COUNT(F71,H71,J71,L71)&gt;=INDEX(Accessory_Config!$D$6:$D$30,MATCH(C71,Accessory_Config!$B$6:$B$30,0)))</x:f>
      </x:c>
      <x:c r="O71" s="16" t="str">
        <x:f>IF(A71="","",AND(N71,MIN(F71,H71,J71,IF(INDEX(Accessory_Config!$D$6:$D$30,MATCH(C71,Accessory_Config!$B$6:$B$30,0))=4,L71,999))&gt;=INDEX(Accessory_Config!$F$6:$F$30,MATCH(C71,Accessory_Config!$B$6:$B$30,0)),MIN(G71,I71,K71,IF(INDEX(Accessory_Config!$D$6:$D$30,MATCH(C71,Accessory_Config!$B$6:$B$30,0))=4,M71,999))&gt;=2))</x:f>
      </x:c>
      <x:c r="P71" s="19" t="str">
        <x:f>IF(A71="","",IF(E71="","",IF(O71,E71+INDEX(Accessory_Config!$H$6:$H$30,MATCH(C71,Accessory_Config!$B$6:$B$30,0)),E71)))</x:f>
      </x:c>
      <x:c r="Q71" s="17"/>
    </x:row>
    <x:row r="72">
      <x:c r="A72" s="30"/>
      <x:c r="B72" s="17"/>
      <x:c r="C72" s="17"/>
      <x:c r="D72" s="17"/>
      <x:c r="E72" s="31"/>
      <x:c r="F72" s="17"/>
      <x:c r="G72" s="17"/>
      <x:c r="H72" s="17"/>
      <x:c r="I72" s="17"/>
      <x:c r="J72" s="17"/>
      <x:c r="K72" s="17"/>
      <x:c r="L72" s="17"/>
      <x:c r="M72" s="17"/>
      <x:c r="N72" s="16" t="str">
        <x:f>IF(A72="","",COUNT(F72,H72,J72,L72)&gt;=INDEX(Accessory_Config!$D$6:$D$30,MATCH(C72,Accessory_Config!$B$6:$B$30,0)))</x:f>
      </x:c>
      <x:c r="O72" s="16" t="str">
        <x:f>IF(A72="","",AND(N72,MIN(F72,H72,J72,IF(INDEX(Accessory_Config!$D$6:$D$30,MATCH(C72,Accessory_Config!$B$6:$B$30,0))=4,L72,999))&gt;=INDEX(Accessory_Config!$F$6:$F$30,MATCH(C72,Accessory_Config!$B$6:$B$30,0)),MIN(G72,I72,K72,IF(INDEX(Accessory_Config!$D$6:$D$30,MATCH(C72,Accessory_Config!$B$6:$B$30,0))=4,M72,999))&gt;=2))</x:f>
      </x:c>
      <x:c r="P72" s="19" t="str">
        <x:f>IF(A72="","",IF(E72="","",IF(O72,E72+INDEX(Accessory_Config!$H$6:$H$30,MATCH(C72,Accessory_Config!$B$6:$B$30,0)),E72)))</x:f>
      </x:c>
      <x:c r="Q72" s="17"/>
    </x:row>
    <x:row r="73">
      <x:c r="A73" s="30"/>
      <x:c r="B73" s="17"/>
      <x:c r="C73" s="17"/>
      <x:c r="D73" s="17"/>
      <x:c r="E73" s="31"/>
      <x:c r="F73" s="17"/>
      <x:c r="G73" s="17"/>
      <x:c r="H73" s="17"/>
      <x:c r="I73" s="17"/>
      <x:c r="J73" s="17"/>
      <x:c r="K73" s="17"/>
      <x:c r="L73" s="17"/>
      <x:c r="M73" s="17"/>
      <x:c r="N73" s="16" t="str">
        <x:f>IF(A73="","",COUNT(F73,H73,J73,L73)&gt;=INDEX(Accessory_Config!$D$6:$D$30,MATCH(C73,Accessory_Config!$B$6:$B$30,0)))</x:f>
      </x:c>
      <x:c r="O73" s="16" t="str">
        <x:f>IF(A73="","",AND(N73,MIN(F73,H73,J73,IF(INDEX(Accessory_Config!$D$6:$D$30,MATCH(C73,Accessory_Config!$B$6:$B$30,0))=4,L73,999))&gt;=INDEX(Accessory_Config!$F$6:$F$30,MATCH(C73,Accessory_Config!$B$6:$B$30,0)),MIN(G73,I73,K73,IF(INDEX(Accessory_Config!$D$6:$D$30,MATCH(C73,Accessory_Config!$B$6:$B$30,0))=4,M73,999))&gt;=2))</x:f>
      </x:c>
      <x:c r="P73" s="19" t="str">
        <x:f>IF(A73="","",IF(E73="","",IF(O73,E73+INDEX(Accessory_Config!$H$6:$H$30,MATCH(C73,Accessory_Config!$B$6:$B$30,0)),E73)))</x:f>
      </x:c>
      <x:c r="Q73" s="17"/>
    </x:row>
    <x:row r="74">
      <x:c r="A74" s="30"/>
      <x:c r="B74" s="17"/>
      <x:c r="C74" s="17"/>
      <x:c r="D74" s="17"/>
      <x:c r="E74" s="31"/>
      <x:c r="F74" s="17"/>
      <x:c r="G74" s="17"/>
      <x:c r="H74" s="17"/>
      <x:c r="I74" s="17"/>
      <x:c r="J74" s="17"/>
      <x:c r="K74" s="17"/>
      <x:c r="L74" s="17"/>
      <x:c r="M74" s="17"/>
      <x:c r="N74" s="16" t="str">
        <x:f>IF(A74="","",COUNT(F74,H74,J74,L74)&gt;=INDEX(Accessory_Config!$D$6:$D$30,MATCH(C74,Accessory_Config!$B$6:$B$30,0)))</x:f>
      </x:c>
      <x:c r="O74" s="16" t="str">
        <x:f>IF(A74="","",AND(N74,MIN(F74,H74,J74,IF(INDEX(Accessory_Config!$D$6:$D$30,MATCH(C74,Accessory_Config!$B$6:$B$30,0))=4,L74,999))&gt;=INDEX(Accessory_Config!$F$6:$F$30,MATCH(C74,Accessory_Config!$B$6:$B$30,0)),MIN(G74,I74,K74,IF(INDEX(Accessory_Config!$D$6:$D$30,MATCH(C74,Accessory_Config!$B$6:$B$30,0))=4,M74,999))&gt;=2))</x:f>
      </x:c>
      <x:c r="P74" s="19" t="str">
        <x:f>IF(A74="","",IF(E74="","",IF(O74,E74+INDEX(Accessory_Config!$H$6:$H$30,MATCH(C74,Accessory_Config!$B$6:$B$30,0)),E74)))</x:f>
      </x:c>
      <x:c r="Q74" s="17"/>
    </x:row>
    <x:row r="75">
      <x:c r="A75" s="30"/>
      <x:c r="B75" s="17"/>
      <x:c r="C75" s="17"/>
      <x:c r="D75" s="17"/>
      <x:c r="E75" s="31"/>
      <x:c r="F75" s="17"/>
      <x:c r="G75" s="17"/>
      <x:c r="H75" s="17"/>
      <x:c r="I75" s="17"/>
      <x:c r="J75" s="17"/>
      <x:c r="K75" s="17"/>
      <x:c r="L75" s="17"/>
      <x:c r="M75" s="17"/>
      <x:c r="N75" s="16" t="str">
        <x:f>IF(A75="","",COUNT(F75,H75,J75,L75)&gt;=INDEX(Accessory_Config!$D$6:$D$30,MATCH(C75,Accessory_Config!$B$6:$B$30,0)))</x:f>
      </x:c>
      <x:c r="O75" s="16" t="str">
        <x:f>IF(A75="","",AND(N75,MIN(F75,H75,J75,IF(INDEX(Accessory_Config!$D$6:$D$30,MATCH(C75,Accessory_Config!$B$6:$B$30,0))=4,L75,999))&gt;=INDEX(Accessory_Config!$F$6:$F$30,MATCH(C75,Accessory_Config!$B$6:$B$30,0)),MIN(G75,I75,K75,IF(INDEX(Accessory_Config!$D$6:$D$30,MATCH(C75,Accessory_Config!$B$6:$B$30,0))=4,M75,999))&gt;=2))</x:f>
      </x:c>
      <x:c r="P75" s="19" t="str">
        <x:f>IF(A75="","",IF(E75="","",IF(O75,E75+INDEX(Accessory_Config!$H$6:$H$30,MATCH(C75,Accessory_Config!$B$6:$B$30,0)),E75)))</x:f>
      </x:c>
      <x:c r="Q75" s="17"/>
    </x:row>
    <x:row r="76">
      <x:c r="A76" s="30"/>
      <x:c r="B76" s="17"/>
      <x:c r="C76" s="17"/>
      <x:c r="D76" s="17"/>
      <x:c r="E76" s="31"/>
      <x:c r="F76" s="17"/>
      <x:c r="G76" s="17"/>
      <x:c r="H76" s="17"/>
      <x:c r="I76" s="17"/>
      <x:c r="J76" s="17"/>
      <x:c r="K76" s="17"/>
      <x:c r="L76" s="17"/>
      <x:c r="M76" s="17"/>
      <x:c r="N76" s="16" t="str">
        <x:f>IF(A76="","",COUNT(F76,H76,J76,L76)&gt;=INDEX(Accessory_Config!$D$6:$D$30,MATCH(C76,Accessory_Config!$B$6:$B$30,0)))</x:f>
      </x:c>
      <x:c r="O76" s="16" t="str">
        <x:f>IF(A76="","",AND(N76,MIN(F76,H76,J76,IF(INDEX(Accessory_Config!$D$6:$D$30,MATCH(C76,Accessory_Config!$B$6:$B$30,0))=4,L76,999))&gt;=INDEX(Accessory_Config!$F$6:$F$30,MATCH(C76,Accessory_Config!$B$6:$B$30,0)),MIN(G76,I76,K76,IF(INDEX(Accessory_Config!$D$6:$D$30,MATCH(C76,Accessory_Config!$B$6:$B$30,0))=4,M76,999))&gt;=2))</x:f>
      </x:c>
      <x:c r="P76" s="19" t="str">
        <x:f>IF(A76="","",IF(E76="","",IF(O76,E76+INDEX(Accessory_Config!$H$6:$H$30,MATCH(C76,Accessory_Config!$B$6:$B$30,0)),E76)))</x:f>
      </x:c>
      <x:c r="Q76" s="17"/>
    </x:row>
    <x:row r="77">
      <x:c r="A77" s="30"/>
      <x:c r="B77" s="17"/>
      <x:c r="C77" s="17"/>
      <x:c r="D77" s="17"/>
      <x:c r="E77" s="31"/>
      <x:c r="F77" s="17"/>
      <x:c r="G77" s="17"/>
      <x:c r="H77" s="17"/>
      <x:c r="I77" s="17"/>
      <x:c r="J77" s="17"/>
      <x:c r="K77" s="17"/>
      <x:c r="L77" s="17"/>
      <x:c r="M77" s="17"/>
      <x:c r="N77" s="16" t="str">
        <x:f>IF(A77="","",COUNT(F77,H77,J77,L77)&gt;=INDEX(Accessory_Config!$D$6:$D$30,MATCH(C77,Accessory_Config!$B$6:$B$30,0)))</x:f>
      </x:c>
      <x:c r="O77" s="16" t="str">
        <x:f>IF(A77="","",AND(N77,MIN(F77,H77,J77,IF(INDEX(Accessory_Config!$D$6:$D$30,MATCH(C77,Accessory_Config!$B$6:$B$30,0))=4,L77,999))&gt;=INDEX(Accessory_Config!$F$6:$F$30,MATCH(C77,Accessory_Config!$B$6:$B$30,0)),MIN(G77,I77,K77,IF(INDEX(Accessory_Config!$D$6:$D$30,MATCH(C77,Accessory_Config!$B$6:$B$30,0))=4,M77,999))&gt;=2))</x:f>
      </x:c>
      <x:c r="P77" s="19" t="str">
        <x:f>IF(A77="","",IF(E77="","",IF(O77,E77+INDEX(Accessory_Config!$H$6:$H$30,MATCH(C77,Accessory_Config!$B$6:$B$30,0)),E77)))</x:f>
      </x:c>
      <x:c r="Q77" s="17"/>
    </x:row>
    <x:row r="78">
      <x:c r="A78" s="30"/>
      <x:c r="B78" s="17"/>
      <x:c r="C78" s="17"/>
      <x:c r="D78" s="17"/>
      <x:c r="E78" s="31"/>
      <x:c r="F78" s="17"/>
      <x:c r="G78" s="17"/>
      <x:c r="H78" s="17"/>
      <x:c r="I78" s="17"/>
      <x:c r="J78" s="17"/>
      <x:c r="K78" s="17"/>
      <x:c r="L78" s="17"/>
      <x:c r="M78" s="17"/>
      <x:c r="N78" s="16" t="str">
        <x:f>IF(A78="","",COUNT(F78,H78,J78,L78)&gt;=INDEX(Accessory_Config!$D$6:$D$30,MATCH(C78,Accessory_Config!$B$6:$B$30,0)))</x:f>
      </x:c>
      <x:c r="O78" s="16" t="str">
        <x:f>IF(A78="","",AND(N78,MIN(F78,H78,J78,IF(INDEX(Accessory_Config!$D$6:$D$30,MATCH(C78,Accessory_Config!$B$6:$B$30,0))=4,L78,999))&gt;=INDEX(Accessory_Config!$F$6:$F$30,MATCH(C78,Accessory_Config!$B$6:$B$30,0)),MIN(G78,I78,K78,IF(INDEX(Accessory_Config!$D$6:$D$30,MATCH(C78,Accessory_Config!$B$6:$B$30,0))=4,M78,999))&gt;=2))</x:f>
      </x:c>
      <x:c r="P78" s="19" t="str">
        <x:f>IF(A78="","",IF(E78="","",IF(O78,E78+INDEX(Accessory_Config!$H$6:$H$30,MATCH(C78,Accessory_Config!$B$6:$B$30,0)),E78)))</x:f>
      </x:c>
      <x:c r="Q78" s="17"/>
    </x:row>
    <x:row r="79">
      <x:c r="A79" s="30"/>
      <x:c r="B79" s="17"/>
      <x:c r="C79" s="17"/>
      <x:c r="D79" s="17"/>
      <x:c r="E79" s="31"/>
      <x:c r="F79" s="17"/>
      <x:c r="G79" s="17"/>
      <x:c r="H79" s="17"/>
      <x:c r="I79" s="17"/>
      <x:c r="J79" s="17"/>
      <x:c r="K79" s="17"/>
      <x:c r="L79" s="17"/>
      <x:c r="M79" s="17"/>
      <x:c r="N79" s="16" t="str">
        <x:f>IF(A79="","",COUNT(F79,H79,J79,L79)&gt;=INDEX(Accessory_Config!$D$6:$D$30,MATCH(C79,Accessory_Config!$B$6:$B$30,0)))</x:f>
      </x:c>
      <x:c r="O79" s="16" t="str">
        <x:f>IF(A79="","",AND(N79,MIN(F79,H79,J79,IF(INDEX(Accessory_Config!$D$6:$D$30,MATCH(C79,Accessory_Config!$B$6:$B$30,0))=4,L79,999))&gt;=INDEX(Accessory_Config!$F$6:$F$30,MATCH(C79,Accessory_Config!$B$6:$B$30,0)),MIN(G79,I79,K79,IF(INDEX(Accessory_Config!$D$6:$D$30,MATCH(C79,Accessory_Config!$B$6:$B$30,0))=4,M79,999))&gt;=2))</x:f>
      </x:c>
      <x:c r="P79" s="19" t="str">
        <x:f>IF(A79="","",IF(E79="","",IF(O79,E79+INDEX(Accessory_Config!$H$6:$H$30,MATCH(C79,Accessory_Config!$B$6:$B$30,0)),E79)))</x:f>
      </x:c>
      <x:c r="Q79" s="17"/>
    </x:row>
    <x:row r="80">
      <x:c r="A80" s="30"/>
      <x:c r="B80" s="17"/>
      <x:c r="C80" s="17"/>
      <x:c r="D80" s="17"/>
      <x:c r="E80" s="31"/>
      <x:c r="F80" s="17"/>
      <x:c r="G80" s="17"/>
      <x:c r="H80" s="17"/>
      <x:c r="I80" s="17"/>
      <x:c r="J80" s="17"/>
      <x:c r="K80" s="17"/>
      <x:c r="L80" s="17"/>
      <x:c r="M80" s="17"/>
      <x:c r="N80" s="16" t="str">
        <x:f>IF(A80="","",COUNT(F80,H80,J80,L80)&gt;=INDEX(Accessory_Config!$D$6:$D$30,MATCH(C80,Accessory_Config!$B$6:$B$30,0)))</x:f>
      </x:c>
      <x:c r="O80" s="16" t="str">
        <x:f>IF(A80="","",AND(N80,MIN(F80,H80,J80,IF(INDEX(Accessory_Config!$D$6:$D$30,MATCH(C80,Accessory_Config!$B$6:$B$30,0))=4,L80,999))&gt;=INDEX(Accessory_Config!$F$6:$F$30,MATCH(C80,Accessory_Config!$B$6:$B$30,0)),MIN(G80,I80,K80,IF(INDEX(Accessory_Config!$D$6:$D$30,MATCH(C80,Accessory_Config!$B$6:$B$30,0))=4,M80,999))&gt;=2))</x:f>
      </x:c>
      <x:c r="P80" s="19" t="str">
        <x:f>IF(A80="","",IF(E80="","",IF(O80,E80+INDEX(Accessory_Config!$H$6:$H$30,MATCH(C80,Accessory_Config!$B$6:$B$30,0)),E80)))</x:f>
      </x:c>
      <x:c r="Q80" s="17"/>
    </x:row>
    <x:row r="81">
      <x:c r="A81" s="30"/>
      <x:c r="B81" s="17"/>
      <x:c r="C81" s="17"/>
      <x:c r="D81" s="17"/>
      <x:c r="E81" s="31"/>
      <x:c r="F81" s="17"/>
      <x:c r="G81" s="17"/>
      <x:c r="H81" s="17"/>
      <x:c r="I81" s="17"/>
      <x:c r="J81" s="17"/>
      <x:c r="K81" s="17"/>
      <x:c r="L81" s="17"/>
      <x:c r="M81" s="17"/>
      <x:c r="N81" s="16" t="str">
        <x:f>IF(A81="","",COUNT(F81,H81,J81,L81)&gt;=INDEX(Accessory_Config!$D$6:$D$30,MATCH(C81,Accessory_Config!$B$6:$B$30,0)))</x:f>
      </x:c>
      <x:c r="O81" s="16" t="str">
        <x:f>IF(A81="","",AND(N81,MIN(F81,H81,J81,IF(INDEX(Accessory_Config!$D$6:$D$30,MATCH(C81,Accessory_Config!$B$6:$B$30,0))=4,L81,999))&gt;=INDEX(Accessory_Config!$F$6:$F$30,MATCH(C81,Accessory_Config!$B$6:$B$30,0)),MIN(G81,I81,K81,IF(INDEX(Accessory_Config!$D$6:$D$30,MATCH(C81,Accessory_Config!$B$6:$B$30,0))=4,M81,999))&gt;=2))</x:f>
      </x:c>
      <x:c r="P81" s="19" t="str">
        <x:f>IF(A81="","",IF(E81="","",IF(O81,E81+INDEX(Accessory_Config!$H$6:$H$30,MATCH(C81,Accessory_Config!$B$6:$B$30,0)),E81)))</x:f>
      </x:c>
      <x:c r="Q81" s="17"/>
    </x:row>
    <x:row r="82">
      <x:c r="A82" s="30"/>
      <x:c r="B82" s="17"/>
      <x:c r="C82" s="17"/>
      <x:c r="D82" s="17"/>
      <x:c r="E82" s="31"/>
      <x:c r="F82" s="17"/>
      <x:c r="G82" s="17"/>
      <x:c r="H82" s="17"/>
      <x:c r="I82" s="17"/>
      <x:c r="J82" s="17"/>
      <x:c r="K82" s="17"/>
      <x:c r="L82" s="17"/>
      <x:c r="M82" s="17"/>
      <x:c r="N82" s="16" t="str">
        <x:f>IF(A82="","",COUNT(F82,H82,J82,L82)&gt;=INDEX(Accessory_Config!$D$6:$D$30,MATCH(C82,Accessory_Config!$B$6:$B$30,0)))</x:f>
      </x:c>
      <x:c r="O82" s="16" t="str">
        <x:f>IF(A82="","",AND(N82,MIN(F82,H82,J82,IF(INDEX(Accessory_Config!$D$6:$D$30,MATCH(C82,Accessory_Config!$B$6:$B$30,0))=4,L82,999))&gt;=INDEX(Accessory_Config!$F$6:$F$30,MATCH(C82,Accessory_Config!$B$6:$B$30,0)),MIN(G82,I82,K82,IF(INDEX(Accessory_Config!$D$6:$D$30,MATCH(C82,Accessory_Config!$B$6:$B$30,0))=4,M82,999))&gt;=2))</x:f>
      </x:c>
      <x:c r="P82" s="19" t="str">
        <x:f>IF(A82="","",IF(E82="","",IF(O82,E82+INDEX(Accessory_Config!$H$6:$H$30,MATCH(C82,Accessory_Config!$B$6:$B$30,0)),E82)))</x:f>
      </x:c>
      <x:c r="Q82" s="17"/>
    </x:row>
    <x:row r="83">
      <x:c r="A83" s="30"/>
      <x:c r="B83" s="17"/>
      <x:c r="C83" s="17"/>
      <x:c r="D83" s="17"/>
      <x:c r="E83" s="31"/>
      <x:c r="F83" s="17"/>
      <x:c r="G83" s="17"/>
      <x:c r="H83" s="17"/>
      <x:c r="I83" s="17"/>
      <x:c r="J83" s="17"/>
      <x:c r="K83" s="17"/>
      <x:c r="L83" s="17"/>
      <x:c r="M83" s="17"/>
      <x:c r="N83" s="16" t="str">
        <x:f>IF(A83="","",COUNT(F83,H83,J83,L83)&gt;=INDEX(Accessory_Config!$D$6:$D$30,MATCH(C83,Accessory_Config!$B$6:$B$30,0)))</x:f>
      </x:c>
      <x:c r="O83" s="16" t="str">
        <x:f>IF(A83="","",AND(N83,MIN(F83,H83,J83,IF(INDEX(Accessory_Config!$D$6:$D$30,MATCH(C83,Accessory_Config!$B$6:$B$30,0))=4,L83,999))&gt;=INDEX(Accessory_Config!$F$6:$F$30,MATCH(C83,Accessory_Config!$B$6:$B$30,0)),MIN(G83,I83,K83,IF(INDEX(Accessory_Config!$D$6:$D$30,MATCH(C83,Accessory_Config!$B$6:$B$30,0))=4,M83,999))&gt;=2))</x:f>
      </x:c>
      <x:c r="P83" s="19" t="str">
        <x:f>IF(A83="","",IF(E83="","",IF(O83,E83+INDEX(Accessory_Config!$H$6:$H$30,MATCH(C83,Accessory_Config!$B$6:$B$30,0)),E83)))</x:f>
      </x:c>
      <x:c r="Q83" s="17"/>
    </x:row>
    <x:row r="84">
      <x:c r="A84" s="30"/>
      <x:c r="B84" s="17"/>
      <x:c r="C84" s="17"/>
      <x:c r="D84" s="17"/>
      <x:c r="E84" s="31"/>
      <x:c r="F84" s="17"/>
      <x:c r="G84" s="17"/>
      <x:c r="H84" s="17"/>
      <x:c r="I84" s="17"/>
      <x:c r="J84" s="17"/>
      <x:c r="K84" s="17"/>
      <x:c r="L84" s="17"/>
      <x:c r="M84" s="17"/>
      <x:c r="N84" s="16" t="str">
        <x:f>IF(A84="","",COUNT(F84,H84,J84,L84)&gt;=INDEX(Accessory_Config!$D$6:$D$30,MATCH(C84,Accessory_Config!$B$6:$B$30,0)))</x:f>
      </x:c>
      <x:c r="O84" s="16" t="str">
        <x:f>IF(A84="","",AND(N84,MIN(F84,H84,J84,IF(INDEX(Accessory_Config!$D$6:$D$30,MATCH(C84,Accessory_Config!$B$6:$B$30,0))=4,L84,999))&gt;=INDEX(Accessory_Config!$F$6:$F$30,MATCH(C84,Accessory_Config!$B$6:$B$30,0)),MIN(G84,I84,K84,IF(INDEX(Accessory_Config!$D$6:$D$30,MATCH(C84,Accessory_Config!$B$6:$B$30,0))=4,M84,999))&gt;=2))</x:f>
      </x:c>
      <x:c r="P84" s="19" t="str">
        <x:f>IF(A84="","",IF(E84="","",IF(O84,E84+INDEX(Accessory_Config!$H$6:$H$30,MATCH(C84,Accessory_Config!$B$6:$B$30,0)),E84)))</x:f>
      </x:c>
      <x:c r="Q84" s="17"/>
    </x:row>
    <x:row r="85">
      <x:c r="A85" s="30"/>
      <x:c r="B85" s="17"/>
      <x:c r="C85" s="17"/>
      <x:c r="D85" s="17"/>
      <x:c r="E85" s="31"/>
      <x:c r="F85" s="17"/>
      <x:c r="G85" s="17"/>
      <x:c r="H85" s="17"/>
      <x:c r="I85" s="17"/>
      <x:c r="J85" s="17"/>
      <x:c r="K85" s="17"/>
      <x:c r="L85" s="17"/>
      <x:c r="M85" s="17"/>
      <x:c r="N85" s="16" t="str">
        <x:f>IF(A85="","",COUNT(F85,H85,J85,L85)&gt;=INDEX(Accessory_Config!$D$6:$D$30,MATCH(C85,Accessory_Config!$B$6:$B$30,0)))</x:f>
      </x:c>
      <x:c r="O85" s="16" t="str">
        <x:f>IF(A85="","",AND(N85,MIN(F85,H85,J85,IF(INDEX(Accessory_Config!$D$6:$D$30,MATCH(C85,Accessory_Config!$B$6:$B$30,0))=4,L85,999))&gt;=INDEX(Accessory_Config!$F$6:$F$30,MATCH(C85,Accessory_Config!$B$6:$B$30,0)),MIN(G85,I85,K85,IF(INDEX(Accessory_Config!$D$6:$D$30,MATCH(C85,Accessory_Config!$B$6:$B$30,0))=4,M85,999))&gt;=2))</x:f>
      </x:c>
      <x:c r="P85" s="19" t="str">
        <x:f>IF(A85="","",IF(E85="","",IF(O85,E85+INDEX(Accessory_Config!$H$6:$H$30,MATCH(C85,Accessory_Config!$B$6:$B$30,0)),E85)))</x:f>
      </x:c>
      <x:c r="Q85" s="17"/>
    </x:row>
    <x:row r="86">
      <x:c r="A86" s="30"/>
      <x:c r="B86" s="17"/>
      <x:c r="C86" s="17"/>
      <x:c r="D86" s="17"/>
      <x:c r="E86" s="31"/>
      <x:c r="F86" s="17"/>
      <x:c r="G86" s="17"/>
      <x:c r="H86" s="17"/>
      <x:c r="I86" s="17"/>
      <x:c r="J86" s="17"/>
      <x:c r="K86" s="17"/>
      <x:c r="L86" s="17"/>
      <x:c r="M86" s="17"/>
      <x:c r="N86" s="16" t="str">
        <x:f>IF(A86="","",COUNT(F86,H86,J86,L86)&gt;=INDEX(Accessory_Config!$D$6:$D$30,MATCH(C86,Accessory_Config!$B$6:$B$30,0)))</x:f>
      </x:c>
      <x:c r="O86" s="16" t="str">
        <x:f>IF(A86="","",AND(N86,MIN(F86,H86,J86,IF(INDEX(Accessory_Config!$D$6:$D$30,MATCH(C86,Accessory_Config!$B$6:$B$30,0))=4,L86,999))&gt;=INDEX(Accessory_Config!$F$6:$F$30,MATCH(C86,Accessory_Config!$B$6:$B$30,0)),MIN(G86,I86,K86,IF(INDEX(Accessory_Config!$D$6:$D$30,MATCH(C86,Accessory_Config!$B$6:$B$30,0))=4,M86,999))&gt;=2))</x:f>
      </x:c>
      <x:c r="P86" s="19" t="str">
        <x:f>IF(A86="","",IF(E86="","",IF(O86,E86+INDEX(Accessory_Config!$H$6:$H$30,MATCH(C86,Accessory_Config!$B$6:$B$30,0)),E86)))</x:f>
      </x:c>
      <x:c r="Q86" s="17"/>
    </x:row>
    <x:row r="87">
      <x:c r="A87" s="30"/>
      <x:c r="B87" s="17"/>
      <x:c r="C87" s="17"/>
      <x:c r="D87" s="17"/>
      <x:c r="E87" s="31"/>
      <x:c r="F87" s="17"/>
      <x:c r="G87" s="17"/>
      <x:c r="H87" s="17"/>
      <x:c r="I87" s="17"/>
      <x:c r="J87" s="17"/>
      <x:c r="K87" s="17"/>
      <x:c r="L87" s="17"/>
      <x:c r="M87" s="17"/>
      <x:c r="N87" s="16" t="str">
        <x:f>IF(A87="","",COUNT(F87,H87,J87,L87)&gt;=INDEX(Accessory_Config!$D$6:$D$30,MATCH(C87,Accessory_Config!$B$6:$B$30,0)))</x:f>
      </x:c>
      <x:c r="O87" s="16" t="str">
        <x:f>IF(A87="","",AND(N87,MIN(F87,H87,J87,IF(INDEX(Accessory_Config!$D$6:$D$30,MATCH(C87,Accessory_Config!$B$6:$B$30,0))=4,L87,999))&gt;=INDEX(Accessory_Config!$F$6:$F$30,MATCH(C87,Accessory_Config!$B$6:$B$30,0)),MIN(G87,I87,K87,IF(INDEX(Accessory_Config!$D$6:$D$30,MATCH(C87,Accessory_Config!$B$6:$B$30,0))=4,M87,999))&gt;=2))</x:f>
      </x:c>
      <x:c r="P87" s="19" t="str">
        <x:f>IF(A87="","",IF(E87="","",IF(O87,E87+INDEX(Accessory_Config!$H$6:$H$30,MATCH(C87,Accessory_Config!$B$6:$B$30,0)),E87)))</x:f>
      </x:c>
      <x:c r="Q87" s="17"/>
    </x:row>
    <x:row r="88">
      <x:c r="A88" s="30"/>
      <x:c r="B88" s="17"/>
      <x:c r="C88" s="17"/>
      <x:c r="D88" s="17"/>
      <x:c r="E88" s="31"/>
      <x:c r="F88" s="17"/>
      <x:c r="G88" s="17"/>
      <x:c r="H88" s="17"/>
      <x:c r="I88" s="17"/>
      <x:c r="J88" s="17"/>
      <x:c r="K88" s="17"/>
      <x:c r="L88" s="17"/>
      <x:c r="M88" s="17"/>
      <x:c r="N88" s="16" t="str">
        <x:f>IF(A88="","",COUNT(F88,H88,J88,L88)&gt;=INDEX(Accessory_Config!$D$6:$D$30,MATCH(C88,Accessory_Config!$B$6:$B$30,0)))</x:f>
      </x:c>
      <x:c r="O88" s="16" t="str">
        <x:f>IF(A88="","",AND(N88,MIN(F88,H88,J88,IF(INDEX(Accessory_Config!$D$6:$D$30,MATCH(C88,Accessory_Config!$B$6:$B$30,0))=4,L88,999))&gt;=INDEX(Accessory_Config!$F$6:$F$30,MATCH(C88,Accessory_Config!$B$6:$B$30,0)),MIN(G88,I88,K88,IF(INDEX(Accessory_Config!$D$6:$D$30,MATCH(C88,Accessory_Config!$B$6:$B$30,0))=4,M88,999))&gt;=2))</x:f>
      </x:c>
      <x:c r="P88" s="19" t="str">
        <x:f>IF(A88="","",IF(E88="","",IF(O88,E88+INDEX(Accessory_Config!$H$6:$H$30,MATCH(C88,Accessory_Config!$B$6:$B$30,0)),E88)))</x:f>
      </x:c>
      <x:c r="Q88" s="17"/>
    </x:row>
    <x:row r="89">
      <x:c r="A89" s="30"/>
      <x:c r="B89" s="17"/>
      <x:c r="C89" s="17"/>
      <x:c r="D89" s="17"/>
      <x:c r="E89" s="31"/>
      <x:c r="F89" s="17"/>
      <x:c r="G89" s="17"/>
      <x:c r="H89" s="17"/>
      <x:c r="I89" s="17"/>
      <x:c r="J89" s="17"/>
      <x:c r="K89" s="17"/>
      <x:c r="L89" s="17"/>
      <x:c r="M89" s="17"/>
      <x:c r="N89" s="16" t="str">
        <x:f>IF(A89="","",COUNT(F89,H89,J89,L89)&gt;=INDEX(Accessory_Config!$D$6:$D$30,MATCH(C89,Accessory_Config!$B$6:$B$30,0)))</x:f>
      </x:c>
      <x:c r="O89" s="16" t="str">
        <x:f>IF(A89="","",AND(N89,MIN(F89,H89,J89,IF(INDEX(Accessory_Config!$D$6:$D$30,MATCH(C89,Accessory_Config!$B$6:$B$30,0))=4,L89,999))&gt;=INDEX(Accessory_Config!$F$6:$F$30,MATCH(C89,Accessory_Config!$B$6:$B$30,0)),MIN(G89,I89,K89,IF(INDEX(Accessory_Config!$D$6:$D$30,MATCH(C89,Accessory_Config!$B$6:$B$30,0))=4,M89,999))&gt;=2))</x:f>
      </x:c>
      <x:c r="P89" s="19" t="str">
        <x:f>IF(A89="","",IF(E89="","",IF(O89,E89+INDEX(Accessory_Config!$H$6:$H$30,MATCH(C89,Accessory_Config!$B$6:$B$30,0)),E89)))</x:f>
      </x:c>
      <x:c r="Q89" s="17"/>
    </x:row>
    <x:row r="90">
      <x:c r="A90" s="30"/>
      <x:c r="B90" s="17"/>
      <x:c r="C90" s="17"/>
      <x:c r="D90" s="17"/>
      <x:c r="E90" s="31"/>
      <x:c r="F90" s="17"/>
      <x:c r="G90" s="17"/>
      <x:c r="H90" s="17"/>
      <x:c r="I90" s="17"/>
      <x:c r="J90" s="17"/>
      <x:c r="K90" s="17"/>
      <x:c r="L90" s="17"/>
      <x:c r="M90" s="17"/>
      <x:c r="N90" s="16" t="str">
        <x:f>IF(A90="","",COUNT(F90,H90,J90,L90)&gt;=INDEX(Accessory_Config!$D$6:$D$30,MATCH(C90,Accessory_Config!$B$6:$B$30,0)))</x:f>
      </x:c>
      <x:c r="O90" s="16" t="str">
        <x:f>IF(A90="","",AND(N90,MIN(F90,H90,J90,IF(INDEX(Accessory_Config!$D$6:$D$30,MATCH(C90,Accessory_Config!$B$6:$B$30,0))=4,L90,999))&gt;=INDEX(Accessory_Config!$F$6:$F$30,MATCH(C90,Accessory_Config!$B$6:$B$30,0)),MIN(G90,I90,K90,IF(INDEX(Accessory_Config!$D$6:$D$30,MATCH(C90,Accessory_Config!$B$6:$B$30,0))=4,M90,999))&gt;=2))</x:f>
      </x:c>
      <x:c r="P90" s="19" t="str">
        <x:f>IF(A90="","",IF(E90="","",IF(O90,E90+INDEX(Accessory_Config!$H$6:$H$30,MATCH(C90,Accessory_Config!$B$6:$B$30,0)),E90)))</x:f>
      </x:c>
      <x:c r="Q90" s="17"/>
    </x:row>
    <x:row r="91">
      <x:c r="A91" s="30"/>
      <x:c r="B91" s="17"/>
      <x:c r="C91" s="17"/>
      <x:c r="D91" s="17"/>
      <x:c r="E91" s="31"/>
      <x:c r="F91" s="17"/>
      <x:c r="G91" s="17"/>
      <x:c r="H91" s="17"/>
      <x:c r="I91" s="17"/>
      <x:c r="J91" s="17"/>
      <x:c r="K91" s="17"/>
      <x:c r="L91" s="17"/>
      <x:c r="M91" s="17"/>
      <x:c r="N91" s="16" t="str">
        <x:f>IF(A91="","",COUNT(F91,H91,J91,L91)&gt;=INDEX(Accessory_Config!$D$6:$D$30,MATCH(C91,Accessory_Config!$B$6:$B$30,0)))</x:f>
      </x:c>
      <x:c r="O91" s="16" t="str">
        <x:f>IF(A91="","",AND(N91,MIN(F91,H91,J91,IF(INDEX(Accessory_Config!$D$6:$D$30,MATCH(C91,Accessory_Config!$B$6:$B$30,0))=4,L91,999))&gt;=INDEX(Accessory_Config!$F$6:$F$30,MATCH(C91,Accessory_Config!$B$6:$B$30,0)),MIN(G91,I91,K91,IF(INDEX(Accessory_Config!$D$6:$D$30,MATCH(C91,Accessory_Config!$B$6:$B$30,0))=4,M91,999))&gt;=2))</x:f>
      </x:c>
      <x:c r="P91" s="19" t="str">
        <x:f>IF(A91="","",IF(E91="","",IF(O91,E91+INDEX(Accessory_Config!$H$6:$H$30,MATCH(C91,Accessory_Config!$B$6:$B$30,0)),E91)))</x:f>
      </x:c>
      <x:c r="Q91" s="17"/>
    </x:row>
    <x:row r="92">
      <x:c r="A92" s="30"/>
      <x:c r="B92" s="17"/>
      <x:c r="C92" s="17"/>
      <x:c r="D92" s="17"/>
      <x:c r="E92" s="31"/>
      <x:c r="F92" s="17"/>
      <x:c r="G92" s="17"/>
      <x:c r="H92" s="17"/>
      <x:c r="I92" s="17"/>
      <x:c r="J92" s="17"/>
      <x:c r="K92" s="17"/>
      <x:c r="L92" s="17"/>
      <x:c r="M92" s="17"/>
      <x:c r="N92" s="16" t="str">
        <x:f>IF(A92="","",COUNT(F92,H92,J92,L92)&gt;=INDEX(Accessory_Config!$D$6:$D$30,MATCH(C92,Accessory_Config!$B$6:$B$30,0)))</x:f>
      </x:c>
      <x:c r="O92" s="16" t="str">
        <x:f>IF(A92="","",AND(N92,MIN(F92,H92,J92,IF(INDEX(Accessory_Config!$D$6:$D$30,MATCH(C92,Accessory_Config!$B$6:$B$30,0))=4,L92,999))&gt;=INDEX(Accessory_Config!$F$6:$F$30,MATCH(C92,Accessory_Config!$B$6:$B$30,0)),MIN(G92,I92,K92,IF(INDEX(Accessory_Config!$D$6:$D$30,MATCH(C92,Accessory_Config!$B$6:$B$30,0))=4,M92,999))&gt;=2))</x:f>
      </x:c>
      <x:c r="P92" s="19" t="str">
        <x:f>IF(A92="","",IF(E92="","",IF(O92,E92+INDEX(Accessory_Config!$H$6:$H$30,MATCH(C92,Accessory_Config!$B$6:$B$30,0)),E92)))</x:f>
      </x:c>
      <x:c r="Q92" s="17"/>
    </x:row>
    <x:row r="93">
      <x:c r="A93" s="30"/>
      <x:c r="B93" s="17"/>
      <x:c r="C93" s="17"/>
      <x:c r="D93" s="17"/>
      <x:c r="E93" s="31"/>
      <x:c r="F93" s="17"/>
      <x:c r="G93" s="17"/>
      <x:c r="H93" s="17"/>
      <x:c r="I93" s="17"/>
      <x:c r="J93" s="17"/>
      <x:c r="K93" s="17"/>
      <x:c r="L93" s="17"/>
      <x:c r="M93" s="17"/>
      <x:c r="N93" s="16" t="str">
        <x:f>IF(A93="","",COUNT(F93,H93,J93,L93)&gt;=INDEX(Accessory_Config!$D$6:$D$30,MATCH(C93,Accessory_Config!$B$6:$B$30,0)))</x:f>
      </x:c>
      <x:c r="O93" s="16" t="str">
        <x:f>IF(A93="","",AND(N93,MIN(F93,H93,J93,IF(INDEX(Accessory_Config!$D$6:$D$30,MATCH(C93,Accessory_Config!$B$6:$B$30,0))=4,L93,999))&gt;=INDEX(Accessory_Config!$F$6:$F$30,MATCH(C93,Accessory_Config!$B$6:$B$30,0)),MIN(G93,I93,K93,IF(INDEX(Accessory_Config!$D$6:$D$30,MATCH(C93,Accessory_Config!$B$6:$B$30,0))=4,M93,999))&gt;=2))</x:f>
      </x:c>
      <x:c r="P93" s="19" t="str">
        <x:f>IF(A93="","",IF(E93="","",IF(O93,E93+INDEX(Accessory_Config!$H$6:$H$30,MATCH(C93,Accessory_Config!$B$6:$B$30,0)),E93)))</x:f>
      </x:c>
      <x:c r="Q93" s="17"/>
    </x:row>
    <x:row r="94">
      <x:c r="A94" s="30"/>
      <x:c r="B94" s="17"/>
      <x:c r="C94" s="17"/>
      <x:c r="D94" s="17"/>
      <x:c r="E94" s="31"/>
      <x:c r="F94" s="17"/>
      <x:c r="G94" s="17"/>
      <x:c r="H94" s="17"/>
      <x:c r="I94" s="17"/>
      <x:c r="J94" s="17"/>
      <x:c r="K94" s="17"/>
      <x:c r="L94" s="17"/>
      <x:c r="M94" s="17"/>
      <x:c r="N94" s="16" t="str">
        <x:f>IF(A94="","",COUNT(F94,H94,J94,L94)&gt;=INDEX(Accessory_Config!$D$6:$D$30,MATCH(C94,Accessory_Config!$B$6:$B$30,0)))</x:f>
      </x:c>
      <x:c r="O94" s="16" t="str">
        <x:f>IF(A94="","",AND(N94,MIN(F94,H94,J94,IF(INDEX(Accessory_Config!$D$6:$D$30,MATCH(C94,Accessory_Config!$B$6:$B$30,0))=4,L94,999))&gt;=INDEX(Accessory_Config!$F$6:$F$30,MATCH(C94,Accessory_Config!$B$6:$B$30,0)),MIN(G94,I94,K94,IF(INDEX(Accessory_Config!$D$6:$D$30,MATCH(C94,Accessory_Config!$B$6:$B$30,0))=4,M94,999))&gt;=2))</x:f>
      </x:c>
      <x:c r="P94" s="19" t="str">
        <x:f>IF(A94="","",IF(E94="","",IF(O94,E94+INDEX(Accessory_Config!$H$6:$H$30,MATCH(C94,Accessory_Config!$B$6:$B$30,0)),E94)))</x:f>
      </x:c>
      <x:c r="Q94" s="17"/>
    </x:row>
    <x:row r="95">
      <x:c r="A95" s="30"/>
      <x:c r="B95" s="17"/>
      <x:c r="C95" s="17"/>
      <x:c r="D95" s="17"/>
      <x:c r="E95" s="31"/>
      <x:c r="F95" s="17"/>
      <x:c r="G95" s="17"/>
      <x:c r="H95" s="17"/>
      <x:c r="I95" s="17"/>
      <x:c r="J95" s="17"/>
      <x:c r="K95" s="17"/>
      <x:c r="L95" s="17"/>
      <x:c r="M95" s="17"/>
      <x:c r="N95" s="16" t="str">
        <x:f>IF(A95="","",COUNT(F95,H95,J95,L95)&gt;=INDEX(Accessory_Config!$D$6:$D$30,MATCH(C95,Accessory_Config!$B$6:$B$30,0)))</x:f>
      </x:c>
      <x:c r="O95" s="16" t="str">
        <x:f>IF(A95="","",AND(N95,MIN(F95,H95,J95,IF(INDEX(Accessory_Config!$D$6:$D$30,MATCH(C95,Accessory_Config!$B$6:$B$30,0))=4,L95,999))&gt;=INDEX(Accessory_Config!$F$6:$F$30,MATCH(C95,Accessory_Config!$B$6:$B$30,0)),MIN(G95,I95,K95,IF(INDEX(Accessory_Config!$D$6:$D$30,MATCH(C95,Accessory_Config!$B$6:$B$30,0))=4,M95,999))&gt;=2))</x:f>
      </x:c>
      <x:c r="P95" s="19" t="str">
        <x:f>IF(A95="","",IF(E95="","",IF(O95,E95+INDEX(Accessory_Config!$H$6:$H$30,MATCH(C95,Accessory_Config!$B$6:$B$30,0)),E95)))</x:f>
      </x:c>
      <x:c r="Q95" s="17"/>
    </x:row>
    <x:row r="96">
      <x:c r="A96" s="30"/>
      <x:c r="B96" s="17"/>
      <x:c r="C96" s="17"/>
      <x:c r="D96" s="17"/>
      <x:c r="E96" s="31"/>
      <x:c r="F96" s="17"/>
      <x:c r="G96" s="17"/>
      <x:c r="H96" s="17"/>
      <x:c r="I96" s="17"/>
      <x:c r="J96" s="17"/>
      <x:c r="K96" s="17"/>
      <x:c r="L96" s="17"/>
      <x:c r="M96" s="17"/>
      <x:c r="N96" s="16" t="str">
        <x:f>IF(A96="","",COUNT(F96,H96,J96,L96)&gt;=INDEX(Accessory_Config!$D$6:$D$30,MATCH(C96,Accessory_Config!$B$6:$B$30,0)))</x:f>
      </x:c>
      <x:c r="O96" s="16" t="str">
        <x:f>IF(A96="","",AND(N96,MIN(F96,H96,J96,IF(INDEX(Accessory_Config!$D$6:$D$30,MATCH(C96,Accessory_Config!$B$6:$B$30,0))=4,L96,999))&gt;=INDEX(Accessory_Config!$F$6:$F$30,MATCH(C96,Accessory_Config!$B$6:$B$30,0)),MIN(G96,I96,K96,IF(INDEX(Accessory_Config!$D$6:$D$30,MATCH(C96,Accessory_Config!$B$6:$B$30,0))=4,M96,999))&gt;=2))</x:f>
      </x:c>
      <x:c r="P96" s="19" t="str">
        <x:f>IF(A96="","",IF(E96="","",IF(O96,E96+INDEX(Accessory_Config!$H$6:$H$30,MATCH(C96,Accessory_Config!$B$6:$B$30,0)),E96)))</x:f>
      </x:c>
      <x:c r="Q96" s="17"/>
    </x:row>
    <x:row r="97">
      <x:c r="A97" s="30"/>
      <x:c r="B97" s="17"/>
      <x:c r="C97" s="17"/>
      <x:c r="D97" s="17"/>
      <x:c r="E97" s="31"/>
      <x:c r="F97" s="17"/>
      <x:c r="G97" s="17"/>
      <x:c r="H97" s="17"/>
      <x:c r="I97" s="17"/>
      <x:c r="J97" s="17"/>
      <x:c r="K97" s="17"/>
      <x:c r="L97" s="17"/>
      <x:c r="M97" s="17"/>
      <x:c r="N97" s="16" t="str">
        <x:f>IF(A97="","",COUNT(F97,H97,J97,L97)&gt;=INDEX(Accessory_Config!$D$6:$D$30,MATCH(C97,Accessory_Config!$B$6:$B$30,0)))</x:f>
      </x:c>
      <x:c r="O97" s="16" t="str">
        <x:f>IF(A97="","",AND(N97,MIN(F97,H97,J97,IF(INDEX(Accessory_Config!$D$6:$D$30,MATCH(C97,Accessory_Config!$B$6:$B$30,0))=4,L97,999))&gt;=INDEX(Accessory_Config!$F$6:$F$30,MATCH(C97,Accessory_Config!$B$6:$B$30,0)),MIN(G97,I97,K97,IF(INDEX(Accessory_Config!$D$6:$D$30,MATCH(C97,Accessory_Config!$B$6:$B$30,0))=4,M97,999))&gt;=2))</x:f>
      </x:c>
      <x:c r="P97" s="19" t="str">
        <x:f>IF(A97="","",IF(E97="","",IF(O97,E97+INDEX(Accessory_Config!$H$6:$H$30,MATCH(C97,Accessory_Config!$B$6:$B$30,0)),E97)))</x:f>
      </x:c>
      <x:c r="Q97" s="17"/>
    </x:row>
    <x:row r="98">
      <x:c r="A98" s="30"/>
      <x:c r="B98" s="17"/>
      <x:c r="C98" s="17"/>
      <x:c r="D98" s="17"/>
      <x:c r="E98" s="31"/>
      <x:c r="F98" s="17"/>
      <x:c r="G98" s="17"/>
      <x:c r="H98" s="17"/>
      <x:c r="I98" s="17"/>
      <x:c r="J98" s="17"/>
      <x:c r="K98" s="17"/>
      <x:c r="L98" s="17"/>
      <x:c r="M98" s="17"/>
      <x:c r="N98" s="16" t="str">
        <x:f>IF(A98="","",COUNT(F98,H98,J98,L98)&gt;=INDEX(Accessory_Config!$D$6:$D$30,MATCH(C98,Accessory_Config!$B$6:$B$30,0)))</x:f>
      </x:c>
      <x:c r="O98" s="16" t="str">
        <x:f>IF(A98="","",AND(N98,MIN(F98,H98,J98,IF(INDEX(Accessory_Config!$D$6:$D$30,MATCH(C98,Accessory_Config!$B$6:$B$30,0))=4,L98,999))&gt;=INDEX(Accessory_Config!$F$6:$F$30,MATCH(C98,Accessory_Config!$B$6:$B$30,0)),MIN(G98,I98,K98,IF(INDEX(Accessory_Config!$D$6:$D$30,MATCH(C98,Accessory_Config!$B$6:$B$30,0))=4,M98,999))&gt;=2))</x:f>
      </x:c>
      <x:c r="P98" s="19" t="str">
        <x:f>IF(A98="","",IF(E98="","",IF(O98,E98+INDEX(Accessory_Config!$H$6:$H$30,MATCH(C98,Accessory_Config!$B$6:$B$30,0)),E98)))</x:f>
      </x:c>
      <x:c r="Q98" s="17"/>
    </x:row>
    <x:row r="99">
      <x:c r="A99" s="30"/>
      <x:c r="B99" s="17"/>
      <x:c r="C99" s="17"/>
      <x:c r="D99" s="17"/>
      <x:c r="E99" s="31"/>
      <x:c r="F99" s="17"/>
      <x:c r="G99" s="17"/>
      <x:c r="H99" s="17"/>
      <x:c r="I99" s="17"/>
      <x:c r="J99" s="17"/>
      <x:c r="K99" s="17"/>
      <x:c r="L99" s="17"/>
      <x:c r="M99" s="17"/>
      <x:c r="N99" s="16" t="str">
        <x:f>IF(A99="","",COUNT(F99,H99,J99,L99)&gt;=INDEX(Accessory_Config!$D$6:$D$30,MATCH(C99,Accessory_Config!$B$6:$B$30,0)))</x:f>
      </x:c>
      <x:c r="O99" s="16" t="str">
        <x:f>IF(A99="","",AND(N99,MIN(F99,H99,J99,IF(INDEX(Accessory_Config!$D$6:$D$30,MATCH(C99,Accessory_Config!$B$6:$B$30,0))=4,L99,999))&gt;=INDEX(Accessory_Config!$F$6:$F$30,MATCH(C99,Accessory_Config!$B$6:$B$30,0)),MIN(G99,I99,K99,IF(INDEX(Accessory_Config!$D$6:$D$30,MATCH(C99,Accessory_Config!$B$6:$B$30,0))=4,M99,999))&gt;=2))</x:f>
      </x:c>
      <x:c r="P99" s="19" t="str">
        <x:f>IF(A99="","",IF(E99="","",IF(O99,E99+INDEX(Accessory_Config!$H$6:$H$30,MATCH(C99,Accessory_Config!$B$6:$B$30,0)),E99)))</x:f>
      </x:c>
      <x:c r="Q99" s="17"/>
    </x:row>
    <x:row r="100">
      <x:c r="A100" s="30"/>
      <x:c r="B100" s="17"/>
      <x:c r="C100" s="17"/>
      <x:c r="D100" s="17"/>
      <x:c r="E100" s="31"/>
      <x:c r="F100" s="17"/>
      <x:c r="G100" s="17"/>
      <x:c r="H100" s="17"/>
      <x:c r="I100" s="17"/>
      <x:c r="J100" s="17"/>
      <x:c r="K100" s="17"/>
      <x:c r="L100" s="17"/>
      <x:c r="M100" s="17"/>
      <x:c r="N100" s="16" t="str">
        <x:f>IF(A100="","",COUNT(F100,H100,J100,L100)&gt;=INDEX(Accessory_Config!$D$6:$D$30,MATCH(C100,Accessory_Config!$B$6:$B$30,0)))</x:f>
      </x:c>
      <x:c r="O100" s="16" t="str">
        <x:f>IF(A100="","",AND(N100,MIN(F100,H100,J100,IF(INDEX(Accessory_Config!$D$6:$D$30,MATCH(C100,Accessory_Config!$B$6:$B$30,0))=4,L100,999))&gt;=INDEX(Accessory_Config!$F$6:$F$30,MATCH(C100,Accessory_Config!$B$6:$B$30,0)),MIN(G100,I100,K100,IF(INDEX(Accessory_Config!$D$6:$D$30,MATCH(C100,Accessory_Config!$B$6:$B$30,0))=4,M100,999))&gt;=2))</x:f>
      </x:c>
      <x:c r="P100" s="19" t="str">
        <x:f>IF(A100="","",IF(E100="","",IF(O100,E100+INDEX(Accessory_Config!$H$6:$H$30,MATCH(C100,Accessory_Config!$B$6:$B$30,0)),E100)))</x:f>
      </x:c>
      <x:c r="Q100" s="17"/>
    </x:row>
    <x:row r="101">
      <x:c r="A101" s="30"/>
      <x:c r="B101" s="17"/>
      <x:c r="C101" s="17"/>
      <x:c r="D101" s="17"/>
      <x:c r="E101" s="31"/>
      <x:c r="F101" s="17"/>
      <x:c r="G101" s="17"/>
      <x:c r="H101" s="17"/>
      <x:c r="I101" s="17"/>
      <x:c r="J101" s="17"/>
      <x:c r="K101" s="17"/>
      <x:c r="L101" s="17"/>
      <x:c r="M101" s="17"/>
      <x:c r="N101" s="16" t="str">
        <x:f>IF(A101="","",COUNT(F101,H101,J101,L101)&gt;=INDEX(Accessory_Config!$D$6:$D$30,MATCH(C101,Accessory_Config!$B$6:$B$30,0)))</x:f>
      </x:c>
      <x:c r="O101" s="16" t="str">
        <x:f>IF(A101="","",AND(N101,MIN(F101,H101,J101,IF(INDEX(Accessory_Config!$D$6:$D$30,MATCH(C101,Accessory_Config!$B$6:$B$30,0))=4,L101,999))&gt;=INDEX(Accessory_Config!$F$6:$F$30,MATCH(C101,Accessory_Config!$B$6:$B$30,0)),MIN(G101,I101,K101,IF(INDEX(Accessory_Config!$D$6:$D$30,MATCH(C101,Accessory_Config!$B$6:$B$30,0))=4,M101,999))&gt;=2))</x:f>
      </x:c>
      <x:c r="P101" s="19" t="str">
        <x:f>IF(A101="","",IF(E101="","",IF(O101,E101+INDEX(Accessory_Config!$H$6:$H$30,MATCH(C101,Accessory_Config!$B$6:$B$30,0)),E101)))</x:f>
      </x:c>
      <x:c r="Q101" s="17"/>
    </x:row>
    <x:row r="102">
      <x:c r="A102" s="30"/>
      <x:c r="B102" s="17"/>
      <x:c r="C102" s="17"/>
      <x:c r="D102" s="17"/>
      <x:c r="E102" s="31"/>
      <x:c r="F102" s="17"/>
      <x:c r="G102" s="17"/>
      <x:c r="H102" s="17"/>
      <x:c r="I102" s="17"/>
      <x:c r="J102" s="17"/>
      <x:c r="K102" s="17"/>
      <x:c r="L102" s="17"/>
      <x:c r="M102" s="17"/>
      <x:c r="N102" s="16" t="str">
        <x:f>IF(A102="","",COUNT(F102,H102,J102,L102)&gt;=INDEX(Accessory_Config!$D$6:$D$30,MATCH(C102,Accessory_Config!$B$6:$B$30,0)))</x:f>
      </x:c>
      <x:c r="O102" s="16" t="str">
        <x:f>IF(A102="","",AND(N102,MIN(F102,H102,J102,IF(INDEX(Accessory_Config!$D$6:$D$30,MATCH(C102,Accessory_Config!$B$6:$B$30,0))=4,L102,999))&gt;=INDEX(Accessory_Config!$F$6:$F$30,MATCH(C102,Accessory_Config!$B$6:$B$30,0)),MIN(G102,I102,K102,IF(INDEX(Accessory_Config!$D$6:$D$30,MATCH(C102,Accessory_Config!$B$6:$B$30,0))=4,M102,999))&gt;=2))</x:f>
      </x:c>
      <x:c r="P102" s="19" t="str">
        <x:f>IF(A102="","",IF(E102="","",IF(O102,E102+INDEX(Accessory_Config!$H$6:$H$30,MATCH(C102,Accessory_Config!$B$6:$B$30,0)),E102)))</x:f>
      </x:c>
      <x:c r="Q102" s="17"/>
    </x:row>
    <x:row r="103">
      <x:c r="A103" s="30"/>
      <x:c r="B103" s="17"/>
      <x:c r="C103" s="17"/>
      <x:c r="D103" s="17"/>
      <x:c r="E103" s="31"/>
      <x:c r="F103" s="17"/>
      <x:c r="G103" s="17"/>
      <x:c r="H103" s="17"/>
      <x:c r="I103" s="17"/>
      <x:c r="J103" s="17"/>
      <x:c r="K103" s="17"/>
      <x:c r="L103" s="17"/>
      <x:c r="M103" s="17"/>
      <x:c r="N103" s="16" t="str">
        <x:f>IF(A103="","",COUNT(F103,H103,J103,L103)&gt;=INDEX(Accessory_Config!$D$6:$D$30,MATCH(C103,Accessory_Config!$B$6:$B$30,0)))</x:f>
      </x:c>
      <x:c r="O103" s="16" t="str">
        <x:f>IF(A103="","",AND(N103,MIN(F103,H103,J103,IF(INDEX(Accessory_Config!$D$6:$D$30,MATCH(C103,Accessory_Config!$B$6:$B$30,0))=4,L103,999))&gt;=INDEX(Accessory_Config!$F$6:$F$30,MATCH(C103,Accessory_Config!$B$6:$B$30,0)),MIN(G103,I103,K103,IF(INDEX(Accessory_Config!$D$6:$D$30,MATCH(C103,Accessory_Config!$B$6:$B$30,0))=4,M103,999))&gt;=2))</x:f>
      </x:c>
      <x:c r="P103" s="19" t="str">
        <x:f>IF(A103="","",IF(E103="","",IF(O103,E103+INDEX(Accessory_Config!$H$6:$H$30,MATCH(C103,Accessory_Config!$B$6:$B$30,0)),E103)))</x:f>
      </x:c>
      <x:c r="Q103" s="17"/>
    </x:row>
    <x:row r="104">
      <x:c r="A104" s="30"/>
      <x:c r="B104" s="17"/>
      <x:c r="C104" s="17"/>
      <x:c r="D104" s="17"/>
      <x:c r="E104" s="31"/>
      <x:c r="F104" s="17"/>
      <x:c r="G104" s="17"/>
      <x:c r="H104" s="17"/>
      <x:c r="I104" s="17"/>
      <x:c r="J104" s="17"/>
      <x:c r="K104" s="17"/>
      <x:c r="L104" s="17"/>
      <x:c r="M104" s="17"/>
      <x:c r="N104" s="16" t="str">
        <x:f>IF(A104="","",COUNT(F104,H104,J104,L104)&gt;=INDEX(Accessory_Config!$D$6:$D$30,MATCH(C104,Accessory_Config!$B$6:$B$30,0)))</x:f>
      </x:c>
      <x:c r="O104" s="16" t="str">
        <x:f>IF(A104="","",AND(N104,MIN(F104,H104,J104,IF(INDEX(Accessory_Config!$D$6:$D$30,MATCH(C104,Accessory_Config!$B$6:$B$30,0))=4,L104,999))&gt;=INDEX(Accessory_Config!$F$6:$F$30,MATCH(C104,Accessory_Config!$B$6:$B$30,0)),MIN(G104,I104,K104,IF(INDEX(Accessory_Config!$D$6:$D$30,MATCH(C104,Accessory_Config!$B$6:$B$30,0))=4,M104,999))&gt;=2))</x:f>
      </x:c>
      <x:c r="P104" s="19" t="str">
        <x:f>IF(A104="","",IF(E104="","",IF(O104,E104+INDEX(Accessory_Config!$H$6:$H$30,MATCH(C104,Accessory_Config!$B$6:$B$30,0)),E104)))</x:f>
      </x:c>
      <x:c r="Q104" s="17"/>
    </x:row>
    <x:row r="105">
      <x:c r="A105" s="30"/>
      <x:c r="B105" s="17"/>
      <x:c r="C105" s="17"/>
      <x:c r="D105" s="17"/>
      <x:c r="E105" s="31"/>
      <x:c r="F105" s="17"/>
      <x:c r="G105" s="17"/>
      <x:c r="H105" s="17"/>
      <x:c r="I105" s="17"/>
      <x:c r="J105" s="17"/>
      <x:c r="K105" s="17"/>
      <x:c r="L105" s="17"/>
      <x:c r="M105" s="17"/>
      <x:c r="N105" s="16" t="str">
        <x:f>IF(A105="","",COUNT(F105,H105,J105,L105)&gt;=INDEX(Accessory_Config!$D$6:$D$30,MATCH(C105,Accessory_Config!$B$6:$B$30,0)))</x:f>
      </x:c>
      <x:c r="O105" s="16" t="str">
        <x:f>IF(A105="","",AND(N105,MIN(F105,H105,J105,IF(INDEX(Accessory_Config!$D$6:$D$30,MATCH(C105,Accessory_Config!$B$6:$B$30,0))=4,L105,999))&gt;=INDEX(Accessory_Config!$F$6:$F$30,MATCH(C105,Accessory_Config!$B$6:$B$30,0)),MIN(G105,I105,K105,IF(INDEX(Accessory_Config!$D$6:$D$30,MATCH(C105,Accessory_Config!$B$6:$B$30,0))=4,M105,999))&gt;=2))</x:f>
      </x:c>
      <x:c r="P105" s="19" t="str">
        <x:f>IF(A105="","",IF(E105="","",IF(O105,E105+INDEX(Accessory_Config!$H$6:$H$30,MATCH(C105,Accessory_Config!$B$6:$B$30,0)),E105)))</x:f>
      </x:c>
      <x:c r="Q105" s="17"/>
    </x:row>
    <x:row r="106">
      <x:c r="A106" s="30"/>
      <x:c r="B106" s="17"/>
      <x:c r="C106" s="17"/>
      <x:c r="D106" s="17"/>
      <x:c r="E106" s="31"/>
      <x:c r="F106" s="17"/>
      <x:c r="G106" s="17"/>
      <x:c r="H106" s="17"/>
      <x:c r="I106" s="17"/>
      <x:c r="J106" s="17"/>
      <x:c r="K106" s="17"/>
      <x:c r="L106" s="17"/>
      <x:c r="M106" s="17"/>
      <x:c r="N106" s="16" t="str">
        <x:f>IF(A106="","",COUNT(F106,H106,J106,L106)&gt;=INDEX(Accessory_Config!$D$6:$D$30,MATCH(C106,Accessory_Config!$B$6:$B$30,0)))</x:f>
      </x:c>
      <x:c r="O106" s="16" t="str">
        <x:f>IF(A106="","",AND(N106,MIN(F106,H106,J106,IF(INDEX(Accessory_Config!$D$6:$D$30,MATCH(C106,Accessory_Config!$B$6:$B$30,0))=4,L106,999))&gt;=INDEX(Accessory_Config!$F$6:$F$30,MATCH(C106,Accessory_Config!$B$6:$B$30,0)),MIN(G106,I106,K106,IF(INDEX(Accessory_Config!$D$6:$D$30,MATCH(C106,Accessory_Config!$B$6:$B$30,0))=4,M106,999))&gt;=2))</x:f>
      </x:c>
      <x:c r="P106" s="19" t="str">
        <x:f>IF(A106="","",IF(E106="","",IF(O106,E106+INDEX(Accessory_Config!$H$6:$H$30,MATCH(C106,Accessory_Config!$B$6:$B$30,0)),E106)))</x:f>
      </x:c>
      <x:c r="Q106" s="17"/>
    </x:row>
    <x:row r="107">
      <x:c r="A107" s="30"/>
      <x:c r="B107" s="17"/>
      <x:c r="C107" s="17"/>
      <x:c r="D107" s="17"/>
      <x:c r="E107" s="31"/>
      <x:c r="F107" s="17"/>
      <x:c r="G107" s="17"/>
      <x:c r="H107" s="17"/>
      <x:c r="I107" s="17"/>
      <x:c r="J107" s="17"/>
      <x:c r="K107" s="17"/>
      <x:c r="L107" s="17"/>
      <x:c r="M107" s="17"/>
      <x:c r="N107" s="16" t="str">
        <x:f>IF(A107="","",COUNT(F107,H107,J107,L107)&gt;=INDEX(Accessory_Config!$D$6:$D$30,MATCH(C107,Accessory_Config!$B$6:$B$30,0)))</x:f>
      </x:c>
      <x:c r="O107" s="16" t="str">
        <x:f>IF(A107="","",AND(N107,MIN(F107,H107,J107,IF(INDEX(Accessory_Config!$D$6:$D$30,MATCH(C107,Accessory_Config!$B$6:$B$30,0))=4,L107,999))&gt;=INDEX(Accessory_Config!$F$6:$F$30,MATCH(C107,Accessory_Config!$B$6:$B$30,0)),MIN(G107,I107,K107,IF(INDEX(Accessory_Config!$D$6:$D$30,MATCH(C107,Accessory_Config!$B$6:$B$30,0))=4,M107,999))&gt;=2))</x:f>
      </x:c>
      <x:c r="P107" s="19" t="str">
        <x:f>IF(A107="","",IF(E107="","",IF(O107,E107+INDEX(Accessory_Config!$H$6:$H$30,MATCH(C107,Accessory_Config!$B$6:$B$30,0)),E107)))</x:f>
      </x:c>
      <x:c r="Q107" s="17"/>
    </x:row>
    <x:row r="108">
      <x:c r="A108" s="30"/>
      <x:c r="B108" s="17"/>
      <x:c r="C108" s="17"/>
      <x:c r="D108" s="17"/>
      <x:c r="E108" s="31"/>
      <x:c r="F108" s="17"/>
      <x:c r="G108" s="17"/>
      <x:c r="H108" s="17"/>
      <x:c r="I108" s="17"/>
      <x:c r="J108" s="17"/>
      <x:c r="K108" s="17"/>
      <x:c r="L108" s="17"/>
      <x:c r="M108" s="17"/>
      <x:c r="N108" s="16" t="str">
        <x:f>IF(A108="","",COUNT(F108,H108,J108,L108)&gt;=INDEX(Accessory_Config!$D$6:$D$30,MATCH(C108,Accessory_Config!$B$6:$B$30,0)))</x:f>
      </x:c>
      <x:c r="O108" s="16" t="str">
        <x:f>IF(A108="","",AND(N108,MIN(F108,H108,J108,IF(INDEX(Accessory_Config!$D$6:$D$30,MATCH(C108,Accessory_Config!$B$6:$B$30,0))=4,L108,999))&gt;=INDEX(Accessory_Config!$F$6:$F$30,MATCH(C108,Accessory_Config!$B$6:$B$30,0)),MIN(G108,I108,K108,IF(INDEX(Accessory_Config!$D$6:$D$30,MATCH(C108,Accessory_Config!$B$6:$B$30,0))=4,M108,999))&gt;=2))</x:f>
      </x:c>
      <x:c r="P108" s="19" t="str">
        <x:f>IF(A108="","",IF(E108="","",IF(O108,E108+INDEX(Accessory_Config!$H$6:$H$30,MATCH(C108,Accessory_Config!$B$6:$B$30,0)),E108)))</x:f>
      </x:c>
      <x:c r="Q108" s="17"/>
    </x:row>
    <x:row r="109">
      <x:c r="A109" s="30"/>
      <x:c r="B109" s="17"/>
      <x:c r="C109" s="17"/>
      <x:c r="D109" s="17"/>
      <x:c r="E109" s="31"/>
      <x:c r="F109" s="17"/>
      <x:c r="G109" s="17"/>
      <x:c r="H109" s="17"/>
      <x:c r="I109" s="17"/>
      <x:c r="J109" s="17"/>
      <x:c r="K109" s="17"/>
      <x:c r="L109" s="17"/>
      <x:c r="M109" s="17"/>
      <x:c r="N109" s="16" t="str">
        <x:f>IF(A109="","",COUNT(F109,H109,J109,L109)&gt;=INDEX(Accessory_Config!$D$6:$D$30,MATCH(C109,Accessory_Config!$B$6:$B$30,0)))</x:f>
      </x:c>
      <x:c r="O109" s="16" t="str">
        <x:f>IF(A109="","",AND(N109,MIN(F109,H109,J109,IF(INDEX(Accessory_Config!$D$6:$D$30,MATCH(C109,Accessory_Config!$B$6:$B$30,0))=4,L109,999))&gt;=INDEX(Accessory_Config!$F$6:$F$30,MATCH(C109,Accessory_Config!$B$6:$B$30,0)),MIN(G109,I109,K109,IF(INDEX(Accessory_Config!$D$6:$D$30,MATCH(C109,Accessory_Config!$B$6:$B$30,0))=4,M109,999))&gt;=2))</x:f>
      </x:c>
      <x:c r="P109" s="19" t="str">
        <x:f>IF(A109="","",IF(E109="","",IF(O109,E109+INDEX(Accessory_Config!$H$6:$H$30,MATCH(C109,Accessory_Config!$B$6:$B$30,0)),E109)))</x:f>
      </x:c>
      <x:c r="Q109" s="17"/>
    </x:row>
    <x:row r="110">
      <x:c r="A110" s="30"/>
      <x:c r="B110" s="17"/>
      <x:c r="C110" s="17"/>
      <x:c r="D110" s="17"/>
      <x:c r="E110" s="31"/>
      <x:c r="F110" s="17"/>
      <x:c r="G110" s="17"/>
      <x:c r="H110" s="17"/>
      <x:c r="I110" s="17"/>
      <x:c r="J110" s="17"/>
      <x:c r="K110" s="17"/>
      <x:c r="L110" s="17"/>
      <x:c r="M110" s="17"/>
      <x:c r="N110" s="16" t="str">
        <x:f>IF(A110="","",COUNT(F110,H110,J110,L110)&gt;=INDEX(Accessory_Config!$D$6:$D$30,MATCH(C110,Accessory_Config!$B$6:$B$30,0)))</x:f>
      </x:c>
      <x:c r="O110" s="16" t="str">
        <x:f>IF(A110="","",AND(N110,MIN(F110,H110,J110,IF(INDEX(Accessory_Config!$D$6:$D$30,MATCH(C110,Accessory_Config!$B$6:$B$30,0))=4,L110,999))&gt;=INDEX(Accessory_Config!$F$6:$F$30,MATCH(C110,Accessory_Config!$B$6:$B$30,0)),MIN(G110,I110,K110,IF(INDEX(Accessory_Config!$D$6:$D$30,MATCH(C110,Accessory_Config!$B$6:$B$30,0))=4,M110,999))&gt;=2))</x:f>
      </x:c>
      <x:c r="P110" s="19" t="str">
        <x:f>IF(A110="","",IF(E110="","",IF(O110,E110+INDEX(Accessory_Config!$H$6:$H$30,MATCH(C110,Accessory_Config!$B$6:$B$30,0)),E110)))</x:f>
      </x:c>
      <x:c r="Q110" s="17"/>
    </x:row>
    <x:row r="111">
      <x:c r="A111" s="30"/>
      <x:c r="B111" s="17"/>
      <x:c r="C111" s="17"/>
      <x:c r="D111" s="17"/>
      <x:c r="E111" s="31"/>
      <x:c r="F111" s="17"/>
      <x:c r="G111" s="17"/>
      <x:c r="H111" s="17"/>
      <x:c r="I111" s="17"/>
      <x:c r="J111" s="17"/>
      <x:c r="K111" s="17"/>
      <x:c r="L111" s="17"/>
      <x:c r="M111" s="17"/>
      <x:c r="N111" s="16" t="str">
        <x:f>IF(A111="","",COUNT(F111,H111,J111,L111)&gt;=INDEX(Accessory_Config!$D$6:$D$30,MATCH(C111,Accessory_Config!$B$6:$B$30,0)))</x:f>
      </x:c>
      <x:c r="O111" s="16" t="str">
        <x:f>IF(A111="","",AND(N111,MIN(F111,H111,J111,IF(INDEX(Accessory_Config!$D$6:$D$30,MATCH(C111,Accessory_Config!$B$6:$B$30,0))=4,L111,999))&gt;=INDEX(Accessory_Config!$F$6:$F$30,MATCH(C111,Accessory_Config!$B$6:$B$30,0)),MIN(G111,I111,K111,IF(INDEX(Accessory_Config!$D$6:$D$30,MATCH(C111,Accessory_Config!$B$6:$B$30,0))=4,M111,999))&gt;=2))</x:f>
      </x:c>
      <x:c r="P111" s="19" t="str">
        <x:f>IF(A111="","",IF(E111="","",IF(O111,E111+INDEX(Accessory_Config!$H$6:$H$30,MATCH(C111,Accessory_Config!$B$6:$B$30,0)),E111)))</x:f>
      </x:c>
      <x:c r="Q111" s="17"/>
    </x:row>
    <x:row r="112">
      <x:c r="A112" s="30"/>
      <x:c r="B112" s="17"/>
      <x:c r="C112" s="17"/>
      <x:c r="D112" s="17"/>
      <x:c r="E112" s="31"/>
      <x:c r="F112" s="17"/>
      <x:c r="G112" s="17"/>
      <x:c r="H112" s="17"/>
      <x:c r="I112" s="17"/>
      <x:c r="J112" s="17"/>
      <x:c r="K112" s="17"/>
      <x:c r="L112" s="17"/>
      <x:c r="M112" s="17"/>
      <x:c r="N112" s="16" t="str">
        <x:f>IF(A112="","",COUNT(F112,H112,J112,L112)&gt;=INDEX(Accessory_Config!$D$6:$D$30,MATCH(C112,Accessory_Config!$B$6:$B$30,0)))</x:f>
      </x:c>
      <x:c r="O112" s="16" t="str">
        <x:f>IF(A112="","",AND(N112,MIN(F112,H112,J112,IF(INDEX(Accessory_Config!$D$6:$D$30,MATCH(C112,Accessory_Config!$B$6:$B$30,0))=4,L112,999))&gt;=INDEX(Accessory_Config!$F$6:$F$30,MATCH(C112,Accessory_Config!$B$6:$B$30,0)),MIN(G112,I112,K112,IF(INDEX(Accessory_Config!$D$6:$D$30,MATCH(C112,Accessory_Config!$B$6:$B$30,0))=4,M112,999))&gt;=2))</x:f>
      </x:c>
      <x:c r="P112" s="19" t="str">
        <x:f>IF(A112="","",IF(E112="","",IF(O112,E112+INDEX(Accessory_Config!$H$6:$H$30,MATCH(C112,Accessory_Config!$B$6:$B$30,0)),E112)))</x:f>
      </x:c>
      <x:c r="Q112" s="17"/>
    </x:row>
    <x:row r="113">
      <x:c r="A113" s="30"/>
      <x:c r="B113" s="17"/>
      <x:c r="C113" s="17"/>
      <x:c r="D113" s="17"/>
      <x:c r="E113" s="31"/>
      <x:c r="F113" s="17"/>
      <x:c r="G113" s="17"/>
      <x:c r="H113" s="17"/>
      <x:c r="I113" s="17"/>
      <x:c r="J113" s="17"/>
      <x:c r="K113" s="17"/>
      <x:c r="L113" s="17"/>
      <x:c r="M113" s="17"/>
      <x:c r="N113" s="16" t="str">
        <x:f>IF(A113="","",COUNT(F113,H113,J113,L113)&gt;=INDEX(Accessory_Config!$D$6:$D$30,MATCH(C113,Accessory_Config!$B$6:$B$30,0)))</x:f>
      </x:c>
      <x:c r="O113" s="16" t="str">
        <x:f>IF(A113="","",AND(N113,MIN(F113,H113,J113,IF(INDEX(Accessory_Config!$D$6:$D$30,MATCH(C113,Accessory_Config!$B$6:$B$30,0))=4,L113,999))&gt;=INDEX(Accessory_Config!$F$6:$F$30,MATCH(C113,Accessory_Config!$B$6:$B$30,0)),MIN(G113,I113,K113,IF(INDEX(Accessory_Config!$D$6:$D$30,MATCH(C113,Accessory_Config!$B$6:$B$30,0))=4,M113,999))&gt;=2))</x:f>
      </x:c>
      <x:c r="P113" s="19" t="str">
        <x:f>IF(A113="","",IF(E113="","",IF(O113,E113+INDEX(Accessory_Config!$H$6:$H$30,MATCH(C113,Accessory_Config!$B$6:$B$30,0)),E113)))</x:f>
      </x:c>
      <x:c r="Q113" s="17"/>
    </x:row>
    <x:row r="114">
      <x:c r="A114" s="30"/>
      <x:c r="B114" s="17"/>
      <x:c r="C114" s="17"/>
      <x:c r="D114" s="17"/>
      <x:c r="E114" s="31"/>
      <x:c r="F114" s="17"/>
      <x:c r="G114" s="17"/>
      <x:c r="H114" s="17"/>
      <x:c r="I114" s="17"/>
      <x:c r="J114" s="17"/>
      <x:c r="K114" s="17"/>
      <x:c r="L114" s="17"/>
      <x:c r="M114" s="17"/>
      <x:c r="N114" s="16" t="str">
        <x:f>IF(A114="","",COUNT(F114,H114,J114,L114)&gt;=INDEX(Accessory_Config!$D$6:$D$30,MATCH(C114,Accessory_Config!$B$6:$B$30,0)))</x:f>
      </x:c>
      <x:c r="O114" s="16" t="str">
        <x:f>IF(A114="","",AND(N114,MIN(F114,H114,J114,IF(INDEX(Accessory_Config!$D$6:$D$30,MATCH(C114,Accessory_Config!$B$6:$B$30,0))=4,L114,999))&gt;=INDEX(Accessory_Config!$F$6:$F$30,MATCH(C114,Accessory_Config!$B$6:$B$30,0)),MIN(G114,I114,K114,IF(INDEX(Accessory_Config!$D$6:$D$30,MATCH(C114,Accessory_Config!$B$6:$B$30,0))=4,M114,999))&gt;=2))</x:f>
      </x:c>
      <x:c r="P114" s="19" t="str">
        <x:f>IF(A114="","",IF(E114="","",IF(O114,E114+INDEX(Accessory_Config!$H$6:$H$30,MATCH(C114,Accessory_Config!$B$6:$B$30,0)),E114)))</x:f>
      </x:c>
      <x:c r="Q114" s="17"/>
    </x:row>
    <x:row r="115">
      <x:c r="A115" s="30"/>
      <x:c r="B115" s="17"/>
      <x:c r="C115" s="17"/>
      <x:c r="D115" s="17"/>
      <x:c r="E115" s="31"/>
      <x:c r="F115" s="17"/>
      <x:c r="G115" s="17"/>
      <x:c r="H115" s="17"/>
      <x:c r="I115" s="17"/>
      <x:c r="J115" s="17"/>
      <x:c r="K115" s="17"/>
      <x:c r="L115" s="17"/>
      <x:c r="M115" s="17"/>
      <x:c r="N115" s="16" t="str">
        <x:f>IF(A115="","",COUNT(F115,H115,J115,L115)&gt;=INDEX(Accessory_Config!$D$6:$D$30,MATCH(C115,Accessory_Config!$B$6:$B$30,0)))</x:f>
      </x:c>
      <x:c r="O115" s="16" t="str">
        <x:f>IF(A115="","",AND(N115,MIN(F115,H115,J115,IF(INDEX(Accessory_Config!$D$6:$D$30,MATCH(C115,Accessory_Config!$B$6:$B$30,0))=4,L115,999))&gt;=INDEX(Accessory_Config!$F$6:$F$30,MATCH(C115,Accessory_Config!$B$6:$B$30,0)),MIN(G115,I115,K115,IF(INDEX(Accessory_Config!$D$6:$D$30,MATCH(C115,Accessory_Config!$B$6:$B$30,0))=4,M115,999))&gt;=2))</x:f>
      </x:c>
      <x:c r="P115" s="19" t="str">
        <x:f>IF(A115="","",IF(E115="","",IF(O115,E115+INDEX(Accessory_Config!$H$6:$H$30,MATCH(C115,Accessory_Config!$B$6:$B$30,0)),E115)))</x:f>
      </x:c>
      <x:c r="Q115" s="17"/>
    </x:row>
    <x:row r="116">
      <x:c r="A116" s="30"/>
      <x:c r="B116" s="17"/>
      <x:c r="C116" s="17"/>
      <x:c r="D116" s="17"/>
      <x:c r="E116" s="31"/>
      <x:c r="F116" s="17"/>
      <x:c r="G116" s="17"/>
      <x:c r="H116" s="17"/>
      <x:c r="I116" s="17"/>
      <x:c r="J116" s="17"/>
      <x:c r="K116" s="17"/>
      <x:c r="L116" s="17"/>
      <x:c r="M116" s="17"/>
      <x:c r="N116" s="16" t="str">
        <x:f>IF(A116="","",COUNT(F116,H116,J116,L116)&gt;=INDEX(Accessory_Config!$D$6:$D$30,MATCH(C116,Accessory_Config!$B$6:$B$30,0)))</x:f>
      </x:c>
      <x:c r="O116" s="16" t="str">
        <x:f>IF(A116="","",AND(N116,MIN(F116,H116,J116,IF(INDEX(Accessory_Config!$D$6:$D$30,MATCH(C116,Accessory_Config!$B$6:$B$30,0))=4,L116,999))&gt;=INDEX(Accessory_Config!$F$6:$F$30,MATCH(C116,Accessory_Config!$B$6:$B$30,0)),MIN(G116,I116,K116,IF(INDEX(Accessory_Config!$D$6:$D$30,MATCH(C116,Accessory_Config!$B$6:$B$30,0))=4,M116,999))&gt;=2))</x:f>
      </x:c>
      <x:c r="P116" s="19" t="str">
        <x:f>IF(A116="","",IF(E116="","",IF(O116,E116+INDEX(Accessory_Config!$H$6:$H$30,MATCH(C116,Accessory_Config!$B$6:$B$30,0)),E116)))</x:f>
      </x:c>
      <x:c r="Q116" s="17"/>
    </x:row>
    <x:row r="117">
      <x:c r="A117" s="30"/>
      <x:c r="B117" s="17"/>
      <x:c r="C117" s="17"/>
      <x:c r="D117" s="17"/>
      <x:c r="E117" s="31"/>
      <x:c r="F117" s="17"/>
      <x:c r="G117" s="17"/>
      <x:c r="H117" s="17"/>
      <x:c r="I117" s="17"/>
      <x:c r="J117" s="17"/>
      <x:c r="K117" s="17"/>
      <x:c r="L117" s="17"/>
      <x:c r="M117" s="17"/>
      <x:c r="N117" s="16" t="str">
        <x:f>IF(A117="","",COUNT(F117,H117,J117,L117)&gt;=INDEX(Accessory_Config!$D$6:$D$30,MATCH(C117,Accessory_Config!$B$6:$B$30,0)))</x:f>
      </x:c>
      <x:c r="O117" s="16" t="str">
        <x:f>IF(A117="","",AND(N117,MIN(F117,H117,J117,IF(INDEX(Accessory_Config!$D$6:$D$30,MATCH(C117,Accessory_Config!$B$6:$B$30,0))=4,L117,999))&gt;=INDEX(Accessory_Config!$F$6:$F$30,MATCH(C117,Accessory_Config!$B$6:$B$30,0)),MIN(G117,I117,K117,IF(INDEX(Accessory_Config!$D$6:$D$30,MATCH(C117,Accessory_Config!$B$6:$B$30,0))=4,M117,999))&gt;=2))</x:f>
      </x:c>
      <x:c r="P117" s="19" t="str">
        <x:f>IF(A117="","",IF(E117="","",IF(O117,E117+INDEX(Accessory_Config!$H$6:$H$30,MATCH(C117,Accessory_Config!$B$6:$B$30,0)),E117)))</x:f>
      </x:c>
      <x:c r="Q117" s="17"/>
    </x:row>
    <x:row r="118">
      <x:c r="A118" s="30"/>
      <x:c r="B118" s="17"/>
      <x:c r="C118" s="17"/>
      <x:c r="D118" s="17"/>
      <x:c r="E118" s="31"/>
      <x:c r="F118" s="17"/>
      <x:c r="G118" s="17"/>
      <x:c r="H118" s="17"/>
      <x:c r="I118" s="17"/>
      <x:c r="J118" s="17"/>
      <x:c r="K118" s="17"/>
      <x:c r="L118" s="17"/>
      <x:c r="M118" s="17"/>
      <x:c r="N118" s="16" t="str">
        <x:f>IF(A118="","",COUNT(F118,H118,J118,L118)&gt;=INDEX(Accessory_Config!$D$6:$D$30,MATCH(C118,Accessory_Config!$B$6:$B$30,0)))</x:f>
      </x:c>
      <x:c r="O118" s="16" t="str">
        <x:f>IF(A118="","",AND(N118,MIN(F118,H118,J118,IF(INDEX(Accessory_Config!$D$6:$D$30,MATCH(C118,Accessory_Config!$B$6:$B$30,0))=4,L118,999))&gt;=INDEX(Accessory_Config!$F$6:$F$30,MATCH(C118,Accessory_Config!$B$6:$B$30,0)),MIN(G118,I118,K118,IF(INDEX(Accessory_Config!$D$6:$D$30,MATCH(C118,Accessory_Config!$B$6:$B$30,0))=4,M118,999))&gt;=2))</x:f>
      </x:c>
      <x:c r="P118" s="19" t="str">
        <x:f>IF(A118="","",IF(E118="","",IF(O118,E118+INDEX(Accessory_Config!$H$6:$H$30,MATCH(C118,Accessory_Config!$B$6:$B$30,0)),E118)))</x:f>
      </x:c>
      <x:c r="Q118" s="17"/>
    </x:row>
    <x:row r="119">
      <x:c r="A119" s="30"/>
      <x:c r="B119" s="17"/>
      <x:c r="C119" s="17"/>
      <x:c r="D119" s="17"/>
      <x:c r="E119" s="31"/>
      <x:c r="F119" s="17"/>
      <x:c r="G119" s="17"/>
      <x:c r="H119" s="17"/>
      <x:c r="I119" s="17"/>
      <x:c r="J119" s="17"/>
      <x:c r="K119" s="17"/>
      <x:c r="L119" s="17"/>
      <x:c r="M119" s="17"/>
      <x:c r="N119" s="16" t="str">
        <x:f>IF(A119="","",COUNT(F119,H119,J119,L119)&gt;=INDEX(Accessory_Config!$D$6:$D$30,MATCH(C119,Accessory_Config!$B$6:$B$30,0)))</x:f>
      </x:c>
      <x:c r="O119" s="16" t="str">
        <x:f>IF(A119="","",AND(N119,MIN(F119,H119,J119,IF(INDEX(Accessory_Config!$D$6:$D$30,MATCH(C119,Accessory_Config!$B$6:$B$30,0))=4,L119,999))&gt;=INDEX(Accessory_Config!$F$6:$F$30,MATCH(C119,Accessory_Config!$B$6:$B$30,0)),MIN(G119,I119,K119,IF(INDEX(Accessory_Config!$D$6:$D$30,MATCH(C119,Accessory_Config!$B$6:$B$30,0))=4,M119,999))&gt;=2))</x:f>
      </x:c>
      <x:c r="P119" s="19" t="str">
        <x:f>IF(A119="","",IF(E119="","",IF(O119,E119+INDEX(Accessory_Config!$H$6:$H$30,MATCH(C119,Accessory_Config!$B$6:$B$30,0)),E119)))</x:f>
      </x:c>
      <x:c r="Q119" s="17"/>
    </x:row>
    <x:row r="120">
      <x:c r="A120" s="30"/>
      <x:c r="B120" s="17"/>
      <x:c r="C120" s="17"/>
      <x:c r="D120" s="17"/>
      <x:c r="E120" s="31"/>
      <x:c r="F120" s="17"/>
      <x:c r="G120" s="17"/>
      <x:c r="H120" s="17"/>
      <x:c r="I120" s="17"/>
      <x:c r="J120" s="17"/>
      <x:c r="K120" s="17"/>
      <x:c r="L120" s="17"/>
      <x:c r="M120" s="17"/>
      <x:c r="N120" s="16" t="str">
        <x:f>IF(A120="","",COUNT(F120,H120,J120,L120)&gt;=INDEX(Accessory_Config!$D$6:$D$30,MATCH(C120,Accessory_Config!$B$6:$B$30,0)))</x:f>
      </x:c>
      <x:c r="O120" s="16" t="str">
        <x:f>IF(A120="","",AND(N120,MIN(F120,H120,J120,IF(INDEX(Accessory_Config!$D$6:$D$30,MATCH(C120,Accessory_Config!$B$6:$B$30,0))=4,L120,999))&gt;=INDEX(Accessory_Config!$F$6:$F$30,MATCH(C120,Accessory_Config!$B$6:$B$30,0)),MIN(G120,I120,K120,IF(INDEX(Accessory_Config!$D$6:$D$30,MATCH(C120,Accessory_Config!$B$6:$B$30,0))=4,M120,999))&gt;=2))</x:f>
      </x:c>
      <x:c r="P120" s="19" t="str">
        <x:f>IF(A120="","",IF(E120="","",IF(O120,E120+INDEX(Accessory_Config!$H$6:$H$30,MATCH(C120,Accessory_Config!$B$6:$B$30,0)),E120)))</x:f>
      </x:c>
      <x:c r="Q120" s="17"/>
    </x:row>
    <x:row r="121">
      <x:c r="A121" s="30"/>
      <x:c r="B121" s="17"/>
      <x:c r="C121" s="17"/>
      <x:c r="D121" s="17"/>
      <x:c r="E121" s="31"/>
      <x:c r="F121" s="17"/>
      <x:c r="G121" s="17"/>
      <x:c r="H121" s="17"/>
      <x:c r="I121" s="17"/>
      <x:c r="J121" s="17"/>
      <x:c r="K121" s="17"/>
      <x:c r="L121" s="17"/>
      <x:c r="M121" s="17"/>
      <x:c r="N121" s="16" t="str">
        <x:f>IF(A121="","",COUNT(F121,H121,J121,L121)&gt;=INDEX(Accessory_Config!$D$6:$D$30,MATCH(C121,Accessory_Config!$B$6:$B$30,0)))</x:f>
      </x:c>
      <x:c r="O121" s="16" t="str">
        <x:f>IF(A121="","",AND(N121,MIN(F121,H121,J121,IF(INDEX(Accessory_Config!$D$6:$D$30,MATCH(C121,Accessory_Config!$B$6:$B$30,0))=4,L121,999))&gt;=INDEX(Accessory_Config!$F$6:$F$30,MATCH(C121,Accessory_Config!$B$6:$B$30,0)),MIN(G121,I121,K121,IF(INDEX(Accessory_Config!$D$6:$D$30,MATCH(C121,Accessory_Config!$B$6:$B$30,0))=4,M121,999))&gt;=2))</x:f>
      </x:c>
      <x:c r="P121" s="19" t="str">
        <x:f>IF(A121="","",IF(E121="","",IF(O121,E121+INDEX(Accessory_Config!$H$6:$H$30,MATCH(C121,Accessory_Config!$B$6:$B$30,0)),E121)))</x:f>
      </x:c>
      <x:c r="Q121" s="17"/>
    </x:row>
    <x:row r="122">
      <x:c r="A122" s="30"/>
      <x:c r="B122" s="17"/>
      <x:c r="C122" s="17"/>
      <x:c r="D122" s="17"/>
      <x:c r="E122" s="31"/>
      <x:c r="F122" s="17"/>
      <x:c r="G122" s="17"/>
      <x:c r="H122" s="17"/>
      <x:c r="I122" s="17"/>
      <x:c r="J122" s="17"/>
      <x:c r="K122" s="17"/>
      <x:c r="L122" s="17"/>
      <x:c r="M122" s="17"/>
      <x:c r="N122" s="16" t="str">
        <x:f>IF(A122="","",COUNT(F122,H122,J122,L122)&gt;=INDEX(Accessory_Config!$D$6:$D$30,MATCH(C122,Accessory_Config!$B$6:$B$30,0)))</x:f>
      </x:c>
      <x:c r="O122" s="16" t="str">
        <x:f>IF(A122="","",AND(N122,MIN(F122,H122,J122,IF(INDEX(Accessory_Config!$D$6:$D$30,MATCH(C122,Accessory_Config!$B$6:$B$30,0))=4,L122,999))&gt;=INDEX(Accessory_Config!$F$6:$F$30,MATCH(C122,Accessory_Config!$B$6:$B$30,0)),MIN(G122,I122,K122,IF(INDEX(Accessory_Config!$D$6:$D$30,MATCH(C122,Accessory_Config!$B$6:$B$30,0))=4,M122,999))&gt;=2))</x:f>
      </x:c>
      <x:c r="P122" s="19" t="str">
        <x:f>IF(A122="","",IF(E122="","",IF(O122,E122+INDEX(Accessory_Config!$H$6:$H$30,MATCH(C122,Accessory_Config!$B$6:$B$30,0)),E122)))</x:f>
      </x:c>
      <x:c r="Q122" s="17"/>
    </x:row>
    <x:row r="123">
      <x:c r="A123" s="30"/>
      <x:c r="B123" s="17"/>
      <x:c r="C123" s="17"/>
      <x:c r="D123" s="17"/>
      <x:c r="E123" s="31"/>
      <x:c r="F123" s="17"/>
      <x:c r="G123" s="17"/>
      <x:c r="H123" s="17"/>
      <x:c r="I123" s="17"/>
      <x:c r="J123" s="17"/>
      <x:c r="K123" s="17"/>
      <x:c r="L123" s="17"/>
      <x:c r="M123" s="17"/>
      <x:c r="N123" s="16" t="str">
        <x:f>IF(A123="","",COUNT(F123,H123,J123,L123)&gt;=INDEX(Accessory_Config!$D$6:$D$30,MATCH(C123,Accessory_Config!$B$6:$B$30,0)))</x:f>
      </x:c>
      <x:c r="O123" s="16" t="str">
        <x:f>IF(A123="","",AND(N123,MIN(F123,H123,J123,IF(INDEX(Accessory_Config!$D$6:$D$30,MATCH(C123,Accessory_Config!$B$6:$B$30,0))=4,L123,999))&gt;=INDEX(Accessory_Config!$F$6:$F$30,MATCH(C123,Accessory_Config!$B$6:$B$30,0)),MIN(G123,I123,K123,IF(INDEX(Accessory_Config!$D$6:$D$30,MATCH(C123,Accessory_Config!$B$6:$B$30,0))=4,M123,999))&gt;=2))</x:f>
      </x:c>
      <x:c r="P123" s="19" t="str">
        <x:f>IF(A123="","",IF(E123="","",IF(O123,E123+INDEX(Accessory_Config!$H$6:$H$30,MATCH(C123,Accessory_Config!$B$6:$B$30,0)),E123)))</x:f>
      </x:c>
      <x:c r="Q123" s="17"/>
    </x:row>
    <x:row r="124">
      <x:c r="A124" s="30"/>
      <x:c r="B124" s="17"/>
      <x:c r="C124" s="17"/>
      <x:c r="D124" s="17"/>
      <x:c r="E124" s="31"/>
      <x:c r="F124" s="17"/>
      <x:c r="G124" s="17"/>
      <x:c r="H124" s="17"/>
      <x:c r="I124" s="17"/>
      <x:c r="J124" s="17"/>
      <x:c r="K124" s="17"/>
      <x:c r="L124" s="17"/>
      <x:c r="M124" s="17"/>
      <x:c r="N124" s="16" t="str">
        <x:f>IF(A124="","",COUNT(F124,H124,J124,L124)&gt;=INDEX(Accessory_Config!$D$6:$D$30,MATCH(C124,Accessory_Config!$B$6:$B$30,0)))</x:f>
      </x:c>
      <x:c r="O124" s="16" t="str">
        <x:f>IF(A124="","",AND(N124,MIN(F124,H124,J124,IF(INDEX(Accessory_Config!$D$6:$D$30,MATCH(C124,Accessory_Config!$B$6:$B$30,0))=4,L124,999))&gt;=INDEX(Accessory_Config!$F$6:$F$30,MATCH(C124,Accessory_Config!$B$6:$B$30,0)),MIN(G124,I124,K124,IF(INDEX(Accessory_Config!$D$6:$D$30,MATCH(C124,Accessory_Config!$B$6:$B$30,0))=4,M124,999))&gt;=2))</x:f>
      </x:c>
      <x:c r="P124" s="19" t="str">
        <x:f>IF(A124="","",IF(E124="","",IF(O124,E124+INDEX(Accessory_Config!$H$6:$H$30,MATCH(C124,Accessory_Config!$B$6:$B$30,0)),E124)))</x:f>
      </x:c>
      <x:c r="Q124" s="17"/>
    </x:row>
    <x:row r="125">
      <x:c r="A125" s="30"/>
      <x:c r="B125" s="17"/>
      <x:c r="C125" s="17"/>
      <x:c r="D125" s="17"/>
      <x:c r="E125" s="31"/>
      <x:c r="F125" s="17"/>
      <x:c r="G125" s="17"/>
      <x:c r="H125" s="17"/>
      <x:c r="I125" s="17"/>
      <x:c r="J125" s="17"/>
      <x:c r="K125" s="17"/>
      <x:c r="L125" s="17"/>
      <x:c r="M125" s="17"/>
      <x:c r="N125" s="16" t="str">
        <x:f>IF(A125="","",COUNT(F125,H125,J125,L125)&gt;=INDEX(Accessory_Config!$D$6:$D$30,MATCH(C125,Accessory_Config!$B$6:$B$30,0)))</x:f>
      </x:c>
      <x:c r="O125" s="16" t="str">
        <x:f>IF(A125="","",AND(N125,MIN(F125,H125,J125,IF(INDEX(Accessory_Config!$D$6:$D$30,MATCH(C125,Accessory_Config!$B$6:$B$30,0))=4,L125,999))&gt;=INDEX(Accessory_Config!$F$6:$F$30,MATCH(C125,Accessory_Config!$B$6:$B$30,0)),MIN(G125,I125,K125,IF(INDEX(Accessory_Config!$D$6:$D$30,MATCH(C125,Accessory_Config!$B$6:$B$30,0))=4,M125,999))&gt;=2))</x:f>
      </x:c>
      <x:c r="P125" s="19" t="str">
        <x:f>IF(A125="","",IF(E125="","",IF(O125,E125+INDEX(Accessory_Config!$H$6:$H$30,MATCH(C125,Accessory_Config!$B$6:$B$30,0)),E125)))</x:f>
      </x:c>
      <x:c r="Q125" s="17"/>
    </x:row>
    <x:row r="126">
      <x:c r="A126" s="30"/>
      <x:c r="B126" s="17"/>
      <x:c r="C126" s="17"/>
      <x:c r="D126" s="17"/>
      <x:c r="E126" s="31"/>
      <x:c r="F126" s="17"/>
      <x:c r="G126" s="17"/>
      <x:c r="H126" s="17"/>
      <x:c r="I126" s="17"/>
      <x:c r="J126" s="17"/>
      <x:c r="K126" s="17"/>
      <x:c r="L126" s="17"/>
      <x:c r="M126" s="17"/>
      <x:c r="N126" s="16" t="str">
        <x:f>IF(A126="","",COUNT(F126,H126,J126,L126)&gt;=INDEX(Accessory_Config!$D$6:$D$30,MATCH(C126,Accessory_Config!$B$6:$B$30,0)))</x:f>
      </x:c>
      <x:c r="O126" s="16" t="str">
        <x:f>IF(A126="","",AND(N126,MIN(F126,H126,J126,IF(INDEX(Accessory_Config!$D$6:$D$30,MATCH(C126,Accessory_Config!$B$6:$B$30,0))=4,L126,999))&gt;=INDEX(Accessory_Config!$F$6:$F$30,MATCH(C126,Accessory_Config!$B$6:$B$30,0)),MIN(G126,I126,K126,IF(INDEX(Accessory_Config!$D$6:$D$30,MATCH(C126,Accessory_Config!$B$6:$B$30,0))=4,M126,999))&gt;=2))</x:f>
      </x:c>
      <x:c r="P126" s="19" t="str">
        <x:f>IF(A126="","",IF(E126="","",IF(O126,E126+INDEX(Accessory_Config!$H$6:$H$30,MATCH(C126,Accessory_Config!$B$6:$B$30,0)),E126)))</x:f>
      </x:c>
      <x:c r="Q126" s="17"/>
    </x:row>
    <x:row r="127">
      <x:c r="A127" s="30"/>
      <x:c r="B127" s="17"/>
      <x:c r="C127" s="17"/>
      <x:c r="D127" s="17"/>
      <x:c r="E127" s="31"/>
      <x:c r="F127" s="17"/>
      <x:c r="G127" s="17"/>
      <x:c r="H127" s="17"/>
      <x:c r="I127" s="17"/>
      <x:c r="J127" s="17"/>
      <x:c r="K127" s="17"/>
      <x:c r="L127" s="17"/>
      <x:c r="M127" s="17"/>
      <x:c r="N127" s="16" t="str">
        <x:f>IF(A127="","",COUNT(F127,H127,J127,L127)&gt;=INDEX(Accessory_Config!$D$6:$D$30,MATCH(C127,Accessory_Config!$B$6:$B$30,0)))</x:f>
      </x:c>
      <x:c r="O127" s="16" t="str">
        <x:f>IF(A127="","",AND(N127,MIN(F127,H127,J127,IF(INDEX(Accessory_Config!$D$6:$D$30,MATCH(C127,Accessory_Config!$B$6:$B$30,0))=4,L127,999))&gt;=INDEX(Accessory_Config!$F$6:$F$30,MATCH(C127,Accessory_Config!$B$6:$B$30,0)),MIN(G127,I127,K127,IF(INDEX(Accessory_Config!$D$6:$D$30,MATCH(C127,Accessory_Config!$B$6:$B$30,0))=4,M127,999))&gt;=2))</x:f>
      </x:c>
      <x:c r="P127" s="19" t="str">
        <x:f>IF(A127="","",IF(E127="","",IF(O127,E127+INDEX(Accessory_Config!$H$6:$H$30,MATCH(C127,Accessory_Config!$B$6:$B$30,0)),E127)))</x:f>
      </x:c>
      <x:c r="Q127" s="17"/>
    </x:row>
    <x:row r="128">
      <x:c r="A128" s="30"/>
      <x:c r="B128" s="17"/>
      <x:c r="C128" s="17"/>
      <x:c r="D128" s="17"/>
      <x:c r="E128" s="31"/>
      <x:c r="F128" s="17"/>
      <x:c r="G128" s="17"/>
      <x:c r="H128" s="17"/>
      <x:c r="I128" s="17"/>
      <x:c r="J128" s="17"/>
      <x:c r="K128" s="17"/>
      <x:c r="L128" s="17"/>
      <x:c r="M128" s="17"/>
      <x:c r="N128" s="16" t="str">
        <x:f>IF(A128="","",COUNT(F128,H128,J128,L128)&gt;=INDEX(Accessory_Config!$D$6:$D$30,MATCH(C128,Accessory_Config!$B$6:$B$30,0)))</x:f>
      </x:c>
      <x:c r="O128" s="16" t="str">
        <x:f>IF(A128="","",AND(N128,MIN(F128,H128,J128,IF(INDEX(Accessory_Config!$D$6:$D$30,MATCH(C128,Accessory_Config!$B$6:$B$30,0))=4,L128,999))&gt;=INDEX(Accessory_Config!$F$6:$F$30,MATCH(C128,Accessory_Config!$B$6:$B$30,0)),MIN(G128,I128,K128,IF(INDEX(Accessory_Config!$D$6:$D$30,MATCH(C128,Accessory_Config!$B$6:$B$30,0))=4,M128,999))&gt;=2))</x:f>
      </x:c>
      <x:c r="P128" s="19" t="str">
        <x:f>IF(A128="","",IF(E128="","",IF(O128,E128+INDEX(Accessory_Config!$H$6:$H$30,MATCH(C128,Accessory_Config!$B$6:$B$30,0)),E128)))</x:f>
      </x:c>
      <x:c r="Q128" s="17"/>
    </x:row>
    <x:row r="129">
      <x:c r="A129" s="30"/>
      <x:c r="B129" s="17"/>
      <x:c r="C129" s="17"/>
      <x:c r="D129" s="17"/>
      <x:c r="E129" s="31"/>
      <x:c r="F129" s="17"/>
      <x:c r="G129" s="17"/>
      <x:c r="H129" s="17"/>
      <x:c r="I129" s="17"/>
      <x:c r="J129" s="17"/>
      <x:c r="K129" s="17"/>
      <x:c r="L129" s="17"/>
      <x:c r="M129" s="17"/>
      <x:c r="N129" s="16" t="str">
        <x:f>IF(A129="","",COUNT(F129,H129,J129,L129)&gt;=INDEX(Accessory_Config!$D$6:$D$30,MATCH(C129,Accessory_Config!$B$6:$B$30,0)))</x:f>
      </x:c>
      <x:c r="O129" s="16" t="str">
        <x:f>IF(A129="","",AND(N129,MIN(F129,H129,J129,IF(INDEX(Accessory_Config!$D$6:$D$30,MATCH(C129,Accessory_Config!$B$6:$B$30,0))=4,L129,999))&gt;=INDEX(Accessory_Config!$F$6:$F$30,MATCH(C129,Accessory_Config!$B$6:$B$30,0)),MIN(G129,I129,K129,IF(INDEX(Accessory_Config!$D$6:$D$30,MATCH(C129,Accessory_Config!$B$6:$B$30,0))=4,M129,999))&gt;=2))</x:f>
      </x:c>
      <x:c r="P129" s="19" t="str">
        <x:f>IF(A129="","",IF(E129="","",IF(O129,E129+INDEX(Accessory_Config!$H$6:$H$30,MATCH(C129,Accessory_Config!$B$6:$B$30,0)),E129)))</x:f>
      </x:c>
      <x:c r="Q129" s="17"/>
    </x:row>
    <x:row r="130">
      <x:c r="A130" s="30"/>
      <x:c r="B130" s="17"/>
      <x:c r="C130" s="17"/>
      <x:c r="D130" s="17"/>
      <x:c r="E130" s="31"/>
      <x:c r="F130" s="17"/>
      <x:c r="G130" s="17"/>
      <x:c r="H130" s="17"/>
      <x:c r="I130" s="17"/>
      <x:c r="J130" s="17"/>
      <x:c r="K130" s="17"/>
      <x:c r="L130" s="17"/>
      <x:c r="M130" s="17"/>
      <x:c r="N130" s="16" t="str">
        <x:f>IF(A130="","",COUNT(F130,H130,J130,L130)&gt;=INDEX(Accessory_Config!$D$6:$D$30,MATCH(C130,Accessory_Config!$B$6:$B$30,0)))</x:f>
      </x:c>
      <x:c r="O130" s="16" t="str">
        <x:f>IF(A130="","",AND(N130,MIN(F130,H130,J130,IF(INDEX(Accessory_Config!$D$6:$D$30,MATCH(C130,Accessory_Config!$B$6:$B$30,0))=4,L130,999))&gt;=INDEX(Accessory_Config!$F$6:$F$30,MATCH(C130,Accessory_Config!$B$6:$B$30,0)),MIN(G130,I130,K130,IF(INDEX(Accessory_Config!$D$6:$D$30,MATCH(C130,Accessory_Config!$B$6:$B$30,0))=4,M130,999))&gt;=2))</x:f>
      </x:c>
      <x:c r="P130" s="19" t="str">
        <x:f>IF(A130="","",IF(E130="","",IF(O130,E130+INDEX(Accessory_Config!$H$6:$H$30,MATCH(C130,Accessory_Config!$B$6:$B$30,0)),E130)))</x:f>
      </x:c>
      <x:c r="Q130" s="17"/>
    </x:row>
    <x:row r="131">
      <x:c r="A131" s="30"/>
      <x:c r="B131" s="17"/>
      <x:c r="C131" s="17"/>
      <x:c r="D131" s="17"/>
      <x:c r="E131" s="31"/>
      <x:c r="F131" s="17"/>
      <x:c r="G131" s="17"/>
      <x:c r="H131" s="17"/>
      <x:c r="I131" s="17"/>
      <x:c r="J131" s="17"/>
      <x:c r="K131" s="17"/>
      <x:c r="L131" s="17"/>
      <x:c r="M131" s="17"/>
      <x:c r="N131" s="16" t="str">
        <x:f>IF(A131="","",COUNT(F131,H131,J131,L131)&gt;=INDEX(Accessory_Config!$D$6:$D$30,MATCH(C131,Accessory_Config!$B$6:$B$30,0)))</x:f>
      </x:c>
      <x:c r="O131" s="16" t="str">
        <x:f>IF(A131="","",AND(N131,MIN(F131,H131,J131,IF(INDEX(Accessory_Config!$D$6:$D$30,MATCH(C131,Accessory_Config!$B$6:$B$30,0))=4,L131,999))&gt;=INDEX(Accessory_Config!$F$6:$F$30,MATCH(C131,Accessory_Config!$B$6:$B$30,0)),MIN(G131,I131,K131,IF(INDEX(Accessory_Config!$D$6:$D$30,MATCH(C131,Accessory_Config!$B$6:$B$30,0))=4,M131,999))&gt;=2))</x:f>
      </x:c>
      <x:c r="P131" s="19" t="str">
        <x:f>IF(A131="","",IF(E131="","",IF(O131,E131+INDEX(Accessory_Config!$H$6:$H$30,MATCH(C131,Accessory_Config!$B$6:$B$30,0)),E131)))</x:f>
      </x:c>
      <x:c r="Q131" s="17"/>
    </x:row>
    <x:row r="132">
      <x:c r="A132" s="30"/>
      <x:c r="B132" s="17"/>
      <x:c r="C132" s="17"/>
      <x:c r="D132" s="17"/>
      <x:c r="E132" s="31"/>
      <x:c r="F132" s="17"/>
      <x:c r="G132" s="17"/>
      <x:c r="H132" s="17"/>
      <x:c r="I132" s="17"/>
      <x:c r="J132" s="17"/>
      <x:c r="K132" s="17"/>
      <x:c r="L132" s="17"/>
      <x:c r="M132" s="17"/>
      <x:c r="N132" s="16" t="str">
        <x:f>IF(A132="","",COUNT(F132,H132,J132,L132)&gt;=INDEX(Accessory_Config!$D$6:$D$30,MATCH(C132,Accessory_Config!$B$6:$B$30,0)))</x:f>
      </x:c>
      <x:c r="O132" s="16" t="str">
        <x:f>IF(A132="","",AND(N132,MIN(F132,H132,J132,IF(INDEX(Accessory_Config!$D$6:$D$30,MATCH(C132,Accessory_Config!$B$6:$B$30,0))=4,L132,999))&gt;=INDEX(Accessory_Config!$F$6:$F$30,MATCH(C132,Accessory_Config!$B$6:$B$30,0)),MIN(G132,I132,K132,IF(INDEX(Accessory_Config!$D$6:$D$30,MATCH(C132,Accessory_Config!$B$6:$B$30,0))=4,M132,999))&gt;=2))</x:f>
      </x:c>
      <x:c r="P132" s="19" t="str">
        <x:f>IF(A132="","",IF(E132="","",IF(O132,E132+INDEX(Accessory_Config!$H$6:$H$30,MATCH(C132,Accessory_Config!$B$6:$B$30,0)),E132)))</x:f>
      </x:c>
      <x:c r="Q132" s="17"/>
    </x:row>
    <x:row r="133">
      <x:c r="A133" s="30"/>
      <x:c r="B133" s="17"/>
      <x:c r="C133" s="17"/>
      <x:c r="D133" s="17"/>
      <x:c r="E133" s="31"/>
      <x:c r="F133" s="17"/>
      <x:c r="G133" s="17"/>
      <x:c r="H133" s="17"/>
      <x:c r="I133" s="17"/>
      <x:c r="J133" s="17"/>
      <x:c r="K133" s="17"/>
      <x:c r="L133" s="17"/>
      <x:c r="M133" s="17"/>
      <x:c r="N133" s="16" t="str">
        <x:f>IF(A133="","",COUNT(F133,H133,J133,L133)&gt;=INDEX(Accessory_Config!$D$6:$D$30,MATCH(C133,Accessory_Config!$B$6:$B$30,0)))</x:f>
      </x:c>
      <x:c r="O133" s="16" t="str">
        <x:f>IF(A133="","",AND(N133,MIN(F133,H133,J133,IF(INDEX(Accessory_Config!$D$6:$D$30,MATCH(C133,Accessory_Config!$B$6:$B$30,0))=4,L133,999))&gt;=INDEX(Accessory_Config!$F$6:$F$30,MATCH(C133,Accessory_Config!$B$6:$B$30,0)),MIN(G133,I133,K133,IF(INDEX(Accessory_Config!$D$6:$D$30,MATCH(C133,Accessory_Config!$B$6:$B$30,0))=4,M133,999))&gt;=2))</x:f>
      </x:c>
      <x:c r="P133" s="19" t="str">
        <x:f>IF(A133="","",IF(E133="","",IF(O133,E133+INDEX(Accessory_Config!$H$6:$H$30,MATCH(C133,Accessory_Config!$B$6:$B$30,0)),E133)))</x:f>
      </x:c>
      <x:c r="Q133" s="17"/>
    </x:row>
    <x:row r="134">
      <x:c r="A134" s="30"/>
      <x:c r="B134" s="17"/>
      <x:c r="C134" s="17"/>
      <x:c r="D134" s="17"/>
      <x:c r="E134" s="31"/>
      <x:c r="F134" s="17"/>
      <x:c r="G134" s="17"/>
      <x:c r="H134" s="17"/>
      <x:c r="I134" s="17"/>
      <x:c r="J134" s="17"/>
      <x:c r="K134" s="17"/>
      <x:c r="L134" s="17"/>
      <x:c r="M134" s="17"/>
      <x:c r="N134" s="16" t="str">
        <x:f>IF(A134="","",COUNT(F134,H134,J134,L134)&gt;=INDEX(Accessory_Config!$D$6:$D$30,MATCH(C134,Accessory_Config!$B$6:$B$30,0)))</x:f>
      </x:c>
      <x:c r="O134" s="16" t="str">
        <x:f>IF(A134="","",AND(N134,MIN(F134,H134,J134,IF(INDEX(Accessory_Config!$D$6:$D$30,MATCH(C134,Accessory_Config!$B$6:$B$30,0))=4,L134,999))&gt;=INDEX(Accessory_Config!$F$6:$F$30,MATCH(C134,Accessory_Config!$B$6:$B$30,0)),MIN(G134,I134,K134,IF(INDEX(Accessory_Config!$D$6:$D$30,MATCH(C134,Accessory_Config!$B$6:$B$30,0))=4,M134,999))&gt;=2))</x:f>
      </x:c>
      <x:c r="P134" s="19" t="str">
        <x:f>IF(A134="","",IF(E134="","",IF(O134,E134+INDEX(Accessory_Config!$H$6:$H$30,MATCH(C134,Accessory_Config!$B$6:$B$30,0)),E134)))</x:f>
      </x:c>
      <x:c r="Q134" s="17"/>
    </x:row>
    <x:row r="135">
      <x:c r="A135" s="30"/>
      <x:c r="B135" s="17"/>
      <x:c r="C135" s="17"/>
      <x:c r="D135" s="17"/>
      <x:c r="E135" s="31"/>
      <x:c r="F135" s="17"/>
      <x:c r="G135" s="17"/>
      <x:c r="H135" s="17"/>
      <x:c r="I135" s="17"/>
      <x:c r="J135" s="17"/>
      <x:c r="K135" s="17"/>
      <x:c r="L135" s="17"/>
      <x:c r="M135" s="17"/>
      <x:c r="N135" s="16" t="str">
        <x:f>IF(A135="","",COUNT(F135,H135,J135,L135)&gt;=INDEX(Accessory_Config!$D$6:$D$30,MATCH(C135,Accessory_Config!$B$6:$B$30,0)))</x:f>
      </x:c>
      <x:c r="O135" s="16" t="str">
        <x:f>IF(A135="","",AND(N135,MIN(F135,H135,J135,IF(INDEX(Accessory_Config!$D$6:$D$30,MATCH(C135,Accessory_Config!$B$6:$B$30,0))=4,L135,999))&gt;=INDEX(Accessory_Config!$F$6:$F$30,MATCH(C135,Accessory_Config!$B$6:$B$30,0)),MIN(G135,I135,K135,IF(INDEX(Accessory_Config!$D$6:$D$30,MATCH(C135,Accessory_Config!$B$6:$B$30,0))=4,M135,999))&gt;=2))</x:f>
      </x:c>
      <x:c r="P135" s="19" t="str">
        <x:f>IF(A135="","",IF(E135="","",IF(O135,E135+INDEX(Accessory_Config!$H$6:$H$30,MATCH(C135,Accessory_Config!$B$6:$B$30,0)),E135)))</x:f>
      </x:c>
      <x:c r="Q135" s="17"/>
    </x:row>
    <x:row r="136">
      <x:c r="A136" s="30"/>
      <x:c r="B136" s="17"/>
      <x:c r="C136" s="17"/>
      <x:c r="D136" s="17"/>
      <x:c r="E136" s="31"/>
      <x:c r="F136" s="17"/>
      <x:c r="G136" s="17"/>
      <x:c r="H136" s="17"/>
      <x:c r="I136" s="17"/>
      <x:c r="J136" s="17"/>
      <x:c r="K136" s="17"/>
      <x:c r="L136" s="17"/>
      <x:c r="M136" s="17"/>
      <x:c r="N136" s="16" t="str">
        <x:f>IF(A136="","",COUNT(F136,H136,J136,L136)&gt;=INDEX(Accessory_Config!$D$6:$D$30,MATCH(C136,Accessory_Config!$B$6:$B$30,0)))</x:f>
      </x:c>
      <x:c r="O136" s="16" t="str">
        <x:f>IF(A136="","",AND(N136,MIN(F136,H136,J136,IF(INDEX(Accessory_Config!$D$6:$D$30,MATCH(C136,Accessory_Config!$B$6:$B$30,0))=4,L136,999))&gt;=INDEX(Accessory_Config!$F$6:$F$30,MATCH(C136,Accessory_Config!$B$6:$B$30,0)),MIN(G136,I136,K136,IF(INDEX(Accessory_Config!$D$6:$D$30,MATCH(C136,Accessory_Config!$B$6:$B$30,0))=4,M136,999))&gt;=2))</x:f>
      </x:c>
      <x:c r="P136" s="19" t="str">
        <x:f>IF(A136="","",IF(E136="","",IF(O136,E136+INDEX(Accessory_Config!$H$6:$H$30,MATCH(C136,Accessory_Config!$B$6:$B$30,0)),E136)))</x:f>
      </x:c>
      <x:c r="Q136" s="17"/>
    </x:row>
    <x:row r="137">
      <x:c r="A137" s="30"/>
      <x:c r="B137" s="17"/>
      <x:c r="C137" s="17"/>
      <x:c r="D137" s="17"/>
      <x:c r="E137" s="31"/>
      <x:c r="F137" s="17"/>
      <x:c r="G137" s="17"/>
      <x:c r="H137" s="17"/>
      <x:c r="I137" s="17"/>
      <x:c r="J137" s="17"/>
      <x:c r="K137" s="17"/>
      <x:c r="L137" s="17"/>
      <x:c r="M137" s="17"/>
      <x:c r="N137" s="16" t="str">
        <x:f>IF(A137="","",COUNT(F137,H137,J137,L137)&gt;=INDEX(Accessory_Config!$D$6:$D$30,MATCH(C137,Accessory_Config!$B$6:$B$30,0)))</x:f>
      </x:c>
      <x:c r="O137" s="16" t="str">
        <x:f>IF(A137="","",AND(N137,MIN(F137,H137,J137,IF(INDEX(Accessory_Config!$D$6:$D$30,MATCH(C137,Accessory_Config!$B$6:$B$30,0))=4,L137,999))&gt;=INDEX(Accessory_Config!$F$6:$F$30,MATCH(C137,Accessory_Config!$B$6:$B$30,0)),MIN(G137,I137,K137,IF(INDEX(Accessory_Config!$D$6:$D$30,MATCH(C137,Accessory_Config!$B$6:$B$30,0))=4,M137,999))&gt;=2))</x:f>
      </x:c>
      <x:c r="P137" s="19" t="str">
        <x:f>IF(A137="","",IF(E137="","",IF(O137,E137+INDEX(Accessory_Config!$H$6:$H$30,MATCH(C137,Accessory_Config!$B$6:$B$30,0)),E137)))</x:f>
      </x:c>
      <x:c r="Q137" s="17"/>
    </x:row>
    <x:row r="138">
      <x:c r="A138" s="30"/>
      <x:c r="B138" s="17"/>
      <x:c r="C138" s="17"/>
      <x:c r="D138" s="17"/>
      <x:c r="E138" s="31"/>
      <x:c r="F138" s="17"/>
      <x:c r="G138" s="17"/>
      <x:c r="H138" s="17"/>
      <x:c r="I138" s="17"/>
      <x:c r="J138" s="17"/>
      <x:c r="K138" s="17"/>
      <x:c r="L138" s="17"/>
      <x:c r="M138" s="17"/>
      <x:c r="N138" s="16" t="str">
        <x:f>IF(A138="","",COUNT(F138,H138,J138,L138)&gt;=INDEX(Accessory_Config!$D$6:$D$30,MATCH(C138,Accessory_Config!$B$6:$B$30,0)))</x:f>
      </x:c>
      <x:c r="O138" s="16" t="str">
        <x:f>IF(A138="","",AND(N138,MIN(F138,H138,J138,IF(INDEX(Accessory_Config!$D$6:$D$30,MATCH(C138,Accessory_Config!$B$6:$B$30,0))=4,L138,999))&gt;=INDEX(Accessory_Config!$F$6:$F$30,MATCH(C138,Accessory_Config!$B$6:$B$30,0)),MIN(G138,I138,K138,IF(INDEX(Accessory_Config!$D$6:$D$30,MATCH(C138,Accessory_Config!$B$6:$B$30,0))=4,M138,999))&gt;=2))</x:f>
      </x:c>
      <x:c r="P138" s="19" t="str">
        <x:f>IF(A138="","",IF(E138="","",IF(O138,E138+INDEX(Accessory_Config!$H$6:$H$30,MATCH(C138,Accessory_Config!$B$6:$B$30,0)),E138)))</x:f>
      </x:c>
      <x:c r="Q138" s="17"/>
    </x:row>
    <x:row r="139">
      <x:c r="A139" s="30"/>
      <x:c r="B139" s="17"/>
      <x:c r="C139" s="17"/>
      <x:c r="D139" s="17"/>
      <x:c r="E139" s="31"/>
      <x:c r="F139" s="17"/>
      <x:c r="G139" s="17"/>
      <x:c r="H139" s="17"/>
      <x:c r="I139" s="17"/>
      <x:c r="J139" s="17"/>
      <x:c r="K139" s="17"/>
      <x:c r="L139" s="17"/>
      <x:c r="M139" s="17"/>
      <x:c r="N139" s="16" t="str">
        <x:f>IF(A139="","",COUNT(F139,H139,J139,L139)&gt;=INDEX(Accessory_Config!$D$6:$D$30,MATCH(C139,Accessory_Config!$B$6:$B$30,0)))</x:f>
      </x:c>
      <x:c r="O139" s="16" t="str">
        <x:f>IF(A139="","",AND(N139,MIN(F139,H139,J139,IF(INDEX(Accessory_Config!$D$6:$D$30,MATCH(C139,Accessory_Config!$B$6:$B$30,0))=4,L139,999))&gt;=INDEX(Accessory_Config!$F$6:$F$30,MATCH(C139,Accessory_Config!$B$6:$B$30,0)),MIN(G139,I139,K139,IF(INDEX(Accessory_Config!$D$6:$D$30,MATCH(C139,Accessory_Config!$B$6:$B$30,0))=4,M139,999))&gt;=2))</x:f>
      </x:c>
      <x:c r="P139" s="19" t="str">
        <x:f>IF(A139="","",IF(E139="","",IF(O139,E139+INDEX(Accessory_Config!$H$6:$H$30,MATCH(C139,Accessory_Config!$B$6:$B$30,0)),E139)))</x:f>
      </x:c>
      <x:c r="Q139" s="17"/>
    </x:row>
    <x:row r="140">
      <x:c r="A140" s="30"/>
      <x:c r="B140" s="17"/>
      <x:c r="C140" s="17"/>
      <x:c r="D140" s="17"/>
      <x:c r="E140" s="31"/>
      <x:c r="F140" s="17"/>
      <x:c r="G140" s="17"/>
      <x:c r="H140" s="17"/>
      <x:c r="I140" s="17"/>
      <x:c r="J140" s="17"/>
      <x:c r="K140" s="17"/>
      <x:c r="L140" s="17"/>
      <x:c r="M140" s="17"/>
      <x:c r="N140" s="16" t="str">
        <x:f>IF(A140="","",COUNT(F140,H140,J140,L140)&gt;=INDEX(Accessory_Config!$D$6:$D$30,MATCH(C140,Accessory_Config!$B$6:$B$30,0)))</x:f>
      </x:c>
      <x:c r="O140" s="16" t="str">
        <x:f>IF(A140="","",AND(N140,MIN(F140,H140,J140,IF(INDEX(Accessory_Config!$D$6:$D$30,MATCH(C140,Accessory_Config!$B$6:$B$30,0))=4,L140,999))&gt;=INDEX(Accessory_Config!$F$6:$F$30,MATCH(C140,Accessory_Config!$B$6:$B$30,0)),MIN(G140,I140,K140,IF(INDEX(Accessory_Config!$D$6:$D$30,MATCH(C140,Accessory_Config!$B$6:$B$30,0))=4,M140,999))&gt;=2))</x:f>
      </x:c>
      <x:c r="P140" s="19" t="str">
        <x:f>IF(A140="","",IF(E140="","",IF(O140,E140+INDEX(Accessory_Config!$H$6:$H$30,MATCH(C140,Accessory_Config!$B$6:$B$30,0)),E140)))</x:f>
      </x:c>
      <x:c r="Q140" s="17"/>
    </x:row>
    <x:row r="141">
      <x:c r="A141" s="30"/>
      <x:c r="B141" s="17"/>
      <x:c r="C141" s="17"/>
      <x:c r="D141" s="17"/>
      <x:c r="E141" s="31"/>
      <x:c r="F141" s="17"/>
      <x:c r="G141" s="17"/>
      <x:c r="H141" s="17"/>
      <x:c r="I141" s="17"/>
      <x:c r="J141" s="17"/>
      <x:c r="K141" s="17"/>
      <x:c r="L141" s="17"/>
      <x:c r="M141" s="17"/>
      <x:c r="N141" s="16" t="str">
        <x:f>IF(A141="","",COUNT(F141,H141,J141,L141)&gt;=INDEX(Accessory_Config!$D$6:$D$30,MATCH(C141,Accessory_Config!$B$6:$B$30,0)))</x:f>
      </x:c>
      <x:c r="O141" s="16" t="str">
        <x:f>IF(A141="","",AND(N141,MIN(F141,H141,J141,IF(INDEX(Accessory_Config!$D$6:$D$30,MATCH(C141,Accessory_Config!$B$6:$B$30,0))=4,L141,999))&gt;=INDEX(Accessory_Config!$F$6:$F$30,MATCH(C141,Accessory_Config!$B$6:$B$30,0)),MIN(G141,I141,K141,IF(INDEX(Accessory_Config!$D$6:$D$30,MATCH(C141,Accessory_Config!$B$6:$B$30,0))=4,M141,999))&gt;=2))</x:f>
      </x:c>
      <x:c r="P141" s="19" t="str">
        <x:f>IF(A141="","",IF(E141="","",IF(O141,E141+INDEX(Accessory_Config!$H$6:$H$30,MATCH(C141,Accessory_Config!$B$6:$B$30,0)),E141)))</x:f>
      </x:c>
      <x:c r="Q141" s="17"/>
    </x:row>
    <x:row r="142">
      <x:c r="A142" s="30"/>
      <x:c r="B142" s="17"/>
      <x:c r="C142" s="17"/>
      <x:c r="D142" s="17"/>
      <x:c r="E142" s="31"/>
      <x:c r="F142" s="17"/>
      <x:c r="G142" s="17"/>
      <x:c r="H142" s="17"/>
      <x:c r="I142" s="17"/>
      <x:c r="J142" s="17"/>
      <x:c r="K142" s="17"/>
      <x:c r="L142" s="17"/>
      <x:c r="M142" s="17"/>
      <x:c r="N142" s="16" t="str">
        <x:f>IF(A142="","",COUNT(F142,H142,J142,L142)&gt;=INDEX(Accessory_Config!$D$6:$D$30,MATCH(C142,Accessory_Config!$B$6:$B$30,0)))</x:f>
      </x:c>
      <x:c r="O142" s="16" t="str">
        <x:f>IF(A142="","",AND(N142,MIN(F142,H142,J142,IF(INDEX(Accessory_Config!$D$6:$D$30,MATCH(C142,Accessory_Config!$B$6:$B$30,0))=4,L142,999))&gt;=INDEX(Accessory_Config!$F$6:$F$30,MATCH(C142,Accessory_Config!$B$6:$B$30,0)),MIN(G142,I142,K142,IF(INDEX(Accessory_Config!$D$6:$D$30,MATCH(C142,Accessory_Config!$B$6:$B$30,0))=4,M142,999))&gt;=2))</x:f>
      </x:c>
      <x:c r="P142" s="19" t="str">
        <x:f>IF(A142="","",IF(E142="","",IF(O142,E142+INDEX(Accessory_Config!$H$6:$H$30,MATCH(C142,Accessory_Config!$B$6:$B$30,0)),E142)))</x:f>
      </x:c>
      <x:c r="Q142" s="17"/>
    </x:row>
    <x:row r="143">
      <x:c r="A143" s="30"/>
      <x:c r="B143" s="17"/>
      <x:c r="C143" s="17"/>
      <x:c r="D143" s="17"/>
      <x:c r="E143" s="31"/>
      <x:c r="F143" s="17"/>
      <x:c r="G143" s="17"/>
      <x:c r="H143" s="17"/>
      <x:c r="I143" s="17"/>
      <x:c r="J143" s="17"/>
      <x:c r="K143" s="17"/>
      <x:c r="L143" s="17"/>
      <x:c r="M143" s="17"/>
      <x:c r="N143" s="16" t="str">
        <x:f>IF(A143="","",COUNT(F143,H143,J143,L143)&gt;=INDEX(Accessory_Config!$D$6:$D$30,MATCH(C143,Accessory_Config!$B$6:$B$30,0)))</x:f>
      </x:c>
      <x:c r="O143" s="16" t="str">
        <x:f>IF(A143="","",AND(N143,MIN(F143,H143,J143,IF(INDEX(Accessory_Config!$D$6:$D$30,MATCH(C143,Accessory_Config!$B$6:$B$30,0))=4,L143,999))&gt;=INDEX(Accessory_Config!$F$6:$F$30,MATCH(C143,Accessory_Config!$B$6:$B$30,0)),MIN(G143,I143,K143,IF(INDEX(Accessory_Config!$D$6:$D$30,MATCH(C143,Accessory_Config!$B$6:$B$30,0))=4,M143,999))&gt;=2))</x:f>
      </x:c>
      <x:c r="P143" s="19" t="str">
        <x:f>IF(A143="","",IF(E143="","",IF(O143,E143+INDEX(Accessory_Config!$H$6:$H$30,MATCH(C143,Accessory_Config!$B$6:$B$30,0)),E143)))</x:f>
      </x:c>
      <x:c r="Q143" s="17"/>
    </x:row>
    <x:row r="144">
      <x:c r="A144" s="30"/>
      <x:c r="B144" s="17"/>
      <x:c r="C144" s="17"/>
      <x:c r="D144" s="17"/>
      <x:c r="E144" s="31"/>
      <x:c r="F144" s="17"/>
      <x:c r="G144" s="17"/>
      <x:c r="H144" s="17"/>
      <x:c r="I144" s="17"/>
      <x:c r="J144" s="17"/>
      <x:c r="K144" s="17"/>
      <x:c r="L144" s="17"/>
      <x:c r="M144" s="17"/>
      <x:c r="N144" s="16" t="str">
        <x:f>IF(A144="","",COUNT(F144,H144,J144,L144)&gt;=INDEX(Accessory_Config!$D$6:$D$30,MATCH(C144,Accessory_Config!$B$6:$B$30,0)))</x:f>
      </x:c>
      <x:c r="O144" s="16" t="str">
        <x:f>IF(A144="","",AND(N144,MIN(F144,H144,J144,IF(INDEX(Accessory_Config!$D$6:$D$30,MATCH(C144,Accessory_Config!$B$6:$B$30,0))=4,L144,999))&gt;=INDEX(Accessory_Config!$F$6:$F$30,MATCH(C144,Accessory_Config!$B$6:$B$30,0)),MIN(G144,I144,K144,IF(INDEX(Accessory_Config!$D$6:$D$30,MATCH(C144,Accessory_Config!$B$6:$B$30,0))=4,M144,999))&gt;=2))</x:f>
      </x:c>
      <x:c r="P144" s="19" t="str">
        <x:f>IF(A144="","",IF(E144="","",IF(O144,E144+INDEX(Accessory_Config!$H$6:$H$30,MATCH(C144,Accessory_Config!$B$6:$B$30,0)),E144)))</x:f>
      </x:c>
      <x:c r="Q144" s="17"/>
    </x:row>
    <x:row r="145">
      <x:c r="A145" s="30"/>
      <x:c r="B145" s="17"/>
      <x:c r="C145" s="17"/>
      <x:c r="D145" s="17"/>
      <x:c r="E145" s="31"/>
      <x:c r="F145" s="17"/>
      <x:c r="G145" s="17"/>
      <x:c r="H145" s="17"/>
      <x:c r="I145" s="17"/>
      <x:c r="J145" s="17"/>
      <x:c r="K145" s="17"/>
      <x:c r="L145" s="17"/>
      <x:c r="M145" s="17"/>
      <x:c r="N145" s="16" t="str">
        <x:f>IF(A145="","",COUNT(F145,H145,J145,L145)&gt;=INDEX(Accessory_Config!$D$6:$D$30,MATCH(C145,Accessory_Config!$B$6:$B$30,0)))</x:f>
      </x:c>
      <x:c r="O145" s="16" t="str">
        <x:f>IF(A145="","",AND(N145,MIN(F145,H145,J145,IF(INDEX(Accessory_Config!$D$6:$D$30,MATCH(C145,Accessory_Config!$B$6:$B$30,0))=4,L145,999))&gt;=INDEX(Accessory_Config!$F$6:$F$30,MATCH(C145,Accessory_Config!$B$6:$B$30,0)),MIN(G145,I145,K145,IF(INDEX(Accessory_Config!$D$6:$D$30,MATCH(C145,Accessory_Config!$B$6:$B$30,0))=4,M145,999))&gt;=2))</x:f>
      </x:c>
      <x:c r="P145" s="19" t="str">
        <x:f>IF(A145="","",IF(E145="","",IF(O145,E145+INDEX(Accessory_Config!$H$6:$H$30,MATCH(C145,Accessory_Config!$B$6:$B$30,0)),E145)))</x:f>
      </x:c>
      <x:c r="Q145" s="17"/>
    </x:row>
    <x:row r="146">
      <x:c r="A146" s="30"/>
      <x:c r="B146" s="17"/>
      <x:c r="C146" s="17"/>
      <x:c r="D146" s="17"/>
      <x:c r="E146" s="31"/>
      <x:c r="F146" s="17"/>
      <x:c r="G146" s="17"/>
      <x:c r="H146" s="17"/>
      <x:c r="I146" s="17"/>
      <x:c r="J146" s="17"/>
      <x:c r="K146" s="17"/>
      <x:c r="L146" s="17"/>
      <x:c r="M146" s="17"/>
      <x:c r="N146" s="16" t="str">
        <x:f>IF(A146="","",COUNT(F146,H146,J146,L146)&gt;=INDEX(Accessory_Config!$D$6:$D$30,MATCH(C146,Accessory_Config!$B$6:$B$30,0)))</x:f>
      </x:c>
      <x:c r="O146" s="16" t="str">
        <x:f>IF(A146="","",AND(N146,MIN(F146,H146,J146,IF(INDEX(Accessory_Config!$D$6:$D$30,MATCH(C146,Accessory_Config!$B$6:$B$30,0))=4,L146,999))&gt;=INDEX(Accessory_Config!$F$6:$F$30,MATCH(C146,Accessory_Config!$B$6:$B$30,0)),MIN(G146,I146,K146,IF(INDEX(Accessory_Config!$D$6:$D$30,MATCH(C146,Accessory_Config!$B$6:$B$30,0))=4,M146,999))&gt;=2))</x:f>
      </x:c>
      <x:c r="P146" s="19" t="str">
        <x:f>IF(A146="","",IF(E146="","",IF(O146,E146+INDEX(Accessory_Config!$H$6:$H$30,MATCH(C146,Accessory_Config!$B$6:$B$30,0)),E146)))</x:f>
      </x:c>
      <x:c r="Q146" s="17"/>
    </x:row>
    <x:row r="147">
      <x:c r="A147" s="30"/>
      <x:c r="B147" s="17"/>
      <x:c r="C147" s="17"/>
      <x:c r="D147" s="17"/>
      <x:c r="E147" s="31"/>
      <x:c r="F147" s="17"/>
      <x:c r="G147" s="17"/>
      <x:c r="H147" s="17"/>
      <x:c r="I147" s="17"/>
      <x:c r="J147" s="17"/>
      <x:c r="K147" s="17"/>
      <x:c r="L147" s="17"/>
      <x:c r="M147" s="17"/>
      <x:c r="N147" s="16" t="str">
        <x:f>IF(A147="","",COUNT(F147,H147,J147,L147)&gt;=INDEX(Accessory_Config!$D$6:$D$30,MATCH(C147,Accessory_Config!$B$6:$B$30,0)))</x:f>
      </x:c>
      <x:c r="O147" s="16" t="str">
        <x:f>IF(A147="","",AND(N147,MIN(F147,H147,J147,IF(INDEX(Accessory_Config!$D$6:$D$30,MATCH(C147,Accessory_Config!$B$6:$B$30,0))=4,L147,999))&gt;=INDEX(Accessory_Config!$F$6:$F$30,MATCH(C147,Accessory_Config!$B$6:$B$30,0)),MIN(G147,I147,K147,IF(INDEX(Accessory_Config!$D$6:$D$30,MATCH(C147,Accessory_Config!$B$6:$B$30,0))=4,M147,999))&gt;=2))</x:f>
      </x:c>
      <x:c r="P147" s="19" t="str">
        <x:f>IF(A147="","",IF(E147="","",IF(O147,E147+INDEX(Accessory_Config!$H$6:$H$30,MATCH(C147,Accessory_Config!$B$6:$B$30,0)),E147)))</x:f>
      </x:c>
      <x:c r="Q147" s="17"/>
    </x:row>
    <x:row r="148">
      <x:c r="A148" s="30"/>
      <x:c r="B148" s="17"/>
      <x:c r="C148" s="17"/>
      <x:c r="D148" s="17"/>
      <x:c r="E148" s="31"/>
      <x:c r="F148" s="17"/>
      <x:c r="G148" s="17"/>
      <x:c r="H148" s="17"/>
      <x:c r="I148" s="17"/>
      <x:c r="J148" s="17"/>
      <x:c r="K148" s="17"/>
      <x:c r="L148" s="17"/>
      <x:c r="M148" s="17"/>
      <x:c r="N148" s="16" t="str">
        <x:f>IF(A148="","",COUNT(F148,H148,J148,L148)&gt;=INDEX(Accessory_Config!$D$6:$D$30,MATCH(C148,Accessory_Config!$B$6:$B$30,0)))</x:f>
      </x:c>
      <x:c r="O148" s="16" t="str">
        <x:f>IF(A148="","",AND(N148,MIN(F148,H148,J148,IF(INDEX(Accessory_Config!$D$6:$D$30,MATCH(C148,Accessory_Config!$B$6:$B$30,0))=4,L148,999))&gt;=INDEX(Accessory_Config!$F$6:$F$30,MATCH(C148,Accessory_Config!$B$6:$B$30,0)),MIN(G148,I148,K148,IF(INDEX(Accessory_Config!$D$6:$D$30,MATCH(C148,Accessory_Config!$B$6:$B$30,0))=4,M148,999))&gt;=2))</x:f>
      </x:c>
      <x:c r="P148" s="19" t="str">
        <x:f>IF(A148="","",IF(E148="","",IF(O148,E148+INDEX(Accessory_Config!$H$6:$H$30,MATCH(C148,Accessory_Config!$B$6:$B$30,0)),E148)))</x:f>
      </x:c>
      <x:c r="Q148" s="17"/>
    </x:row>
    <x:row r="149">
      <x:c r="A149" s="30"/>
      <x:c r="B149" s="17"/>
      <x:c r="C149" s="17"/>
      <x:c r="D149" s="17"/>
      <x:c r="E149" s="31"/>
      <x:c r="F149" s="17"/>
      <x:c r="G149" s="17"/>
      <x:c r="H149" s="17"/>
      <x:c r="I149" s="17"/>
      <x:c r="J149" s="17"/>
      <x:c r="K149" s="17"/>
      <x:c r="L149" s="17"/>
      <x:c r="M149" s="17"/>
      <x:c r="N149" s="16" t="str">
        <x:f>IF(A149="","",COUNT(F149,H149,J149,L149)&gt;=INDEX(Accessory_Config!$D$6:$D$30,MATCH(C149,Accessory_Config!$B$6:$B$30,0)))</x:f>
      </x:c>
      <x:c r="O149" s="16" t="str">
        <x:f>IF(A149="","",AND(N149,MIN(F149,H149,J149,IF(INDEX(Accessory_Config!$D$6:$D$30,MATCH(C149,Accessory_Config!$B$6:$B$30,0))=4,L149,999))&gt;=INDEX(Accessory_Config!$F$6:$F$30,MATCH(C149,Accessory_Config!$B$6:$B$30,0)),MIN(G149,I149,K149,IF(INDEX(Accessory_Config!$D$6:$D$30,MATCH(C149,Accessory_Config!$B$6:$B$30,0))=4,M149,999))&gt;=2))</x:f>
      </x:c>
      <x:c r="P149" s="19" t="str">
        <x:f>IF(A149="","",IF(E149="","",IF(O149,E149+INDEX(Accessory_Config!$H$6:$H$30,MATCH(C149,Accessory_Config!$B$6:$B$30,0)),E149)))</x:f>
      </x:c>
      <x:c r="Q149" s="17"/>
    </x:row>
    <x:row r="150">
      <x:c r="A150" s="30"/>
      <x:c r="B150" s="17"/>
      <x:c r="C150" s="17"/>
      <x:c r="D150" s="17"/>
      <x:c r="E150" s="31"/>
      <x:c r="F150" s="17"/>
      <x:c r="G150" s="17"/>
      <x:c r="H150" s="17"/>
      <x:c r="I150" s="17"/>
      <x:c r="J150" s="17"/>
      <x:c r="K150" s="17"/>
      <x:c r="L150" s="17"/>
      <x:c r="M150" s="17"/>
      <x:c r="N150" s="16" t="str">
        <x:f>IF(A150="","",COUNT(F150,H150,J150,L150)&gt;=INDEX(Accessory_Config!$D$6:$D$30,MATCH(C150,Accessory_Config!$B$6:$B$30,0)))</x:f>
      </x:c>
      <x:c r="O150" s="16" t="str">
        <x:f>IF(A150="","",AND(N150,MIN(F150,H150,J150,IF(INDEX(Accessory_Config!$D$6:$D$30,MATCH(C150,Accessory_Config!$B$6:$B$30,0))=4,L150,999))&gt;=INDEX(Accessory_Config!$F$6:$F$30,MATCH(C150,Accessory_Config!$B$6:$B$30,0)),MIN(G150,I150,K150,IF(INDEX(Accessory_Config!$D$6:$D$30,MATCH(C150,Accessory_Config!$B$6:$B$30,0))=4,M150,999))&gt;=2))</x:f>
      </x:c>
      <x:c r="P150" s="19" t="str">
        <x:f>IF(A150="","",IF(E150="","",IF(O150,E150+INDEX(Accessory_Config!$H$6:$H$30,MATCH(C150,Accessory_Config!$B$6:$B$30,0)),E150)))</x:f>
      </x:c>
      <x:c r="Q150" s="17"/>
    </x:row>
    <x:row r="151">
      <x:c r="A151" s="30"/>
      <x:c r="B151" s="17"/>
      <x:c r="C151" s="17"/>
      <x:c r="D151" s="17"/>
      <x:c r="E151" s="31"/>
      <x:c r="F151" s="17"/>
      <x:c r="G151" s="17"/>
      <x:c r="H151" s="17"/>
      <x:c r="I151" s="17"/>
      <x:c r="J151" s="17"/>
      <x:c r="K151" s="17"/>
      <x:c r="L151" s="17"/>
      <x:c r="M151" s="17"/>
      <x:c r="N151" s="16" t="str">
        <x:f>IF(A151="","",COUNT(F151,H151,J151,L151)&gt;=INDEX(Accessory_Config!$D$6:$D$30,MATCH(C151,Accessory_Config!$B$6:$B$30,0)))</x:f>
      </x:c>
      <x:c r="O151" s="16" t="str">
        <x:f>IF(A151="","",AND(N151,MIN(F151,H151,J151,IF(INDEX(Accessory_Config!$D$6:$D$30,MATCH(C151,Accessory_Config!$B$6:$B$30,0))=4,L151,999))&gt;=INDEX(Accessory_Config!$F$6:$F$30,MATCH(C151,Accessory_Config!$B$6:$B$30,0)),MIN(G151,I151,K151,IF(INDEX(Accessory_Config!$D$6:$D$30,MATCH(C151,Accessory_Config!$B$6:$B$30,0))=4,M151,999))&gt;=2))</x:f>
      </x:c>
      <x:c r="P151" s="19" t="str">
        <x:f>IF(A151="","",IF(E151="","",IF(O151,E151+INDEX(Accessory_Config!$H$6:$H$30,MATCH(C151,Accessory_Config!$B$6:$B$30,0)),E151)))</x:f>
      </x:c>
      <x:c r="Q151" s="17"/>
    </x:row>
    <x:row r="152">
      <x:c r="A152" s="30"/>
      <x:c r="B152" s="17"/>
      <x:c r="C152" s="17"/>
      <x:c r="D152" s="17"/>
      <x:c r="E152" s="31"/>
      <x:c r="F152" s="17"/>
      <x:c r="G152" s="17"/>
      <x:c r="H152" s="17"/>
      <x:c r="I152" s="17"/>
      <x:c r="J152" s="17"/>
      <x:c r="K152" s="17"/>
      <x:c r="L152" s="17"/>
      <x:c r="M152" s="17"/>
      <x:c r="N152" s="16" t="str">
        <x:f>IF(A152="","",COUNT(F152,H152,J152,L152)&gt;=INDEX(Accessory_Config!$D$6:$D$30,MATCH(C152,Accessory_Config!$B$6:$B$30,0)))</x:f>
      </x:c>
      <x:c r="O152" s="16" t="str">
        <x:f>IF(A152="","",AND(N152,MIN(F152,H152,J152,IF(INDEX(Accessory_Config!$D$6:$D$30,MATCH(C152,Accessory_Config!$B$6:$B$30,0))=4,L152,999))&gt;=INDEX(Accessory_Config!$F$6:$F$30,MATCH(C152,Accessory_Config!$B$6:$B$30,0)),MIN(G152,I152,K152,IF(INDEX(Accessory_Config!$D$6:$D$30,MATCH(C152,Accessory_Config!$B$6:$B$30,0))=4,M152,999))&gt;=2))</x:f>
      </x:c>
      <x:c r="P152" s="19" t="str">
        <x:f>IF(A152="","",IF(E152="","",IF(O152,E152+INDEX(Accessory_Config!$H$6:$H$30,MATCH(C152,Accessory_Config!$B$6:$B$30,0)),E152)))</x:f>
      </x:c>
      <x:c r="Q152" s="17"/>
    </x:row>
    <x:row r="153">
      <x:c r="A153" s="30"/>
      <x:c r="B153" s="17"/>
      <x:c r="C153" s="17"/>
      <x:c r="D153" s="17"/>
      <x:c r="E153" s="31"/>
      <x:c r="F153" s="17"/>
      <x:c r="G153" s="17"/>
      <x:c r="H153" s="17"/>
      <x:c r="I153" s="17"/>
      <x:c r="J153" s="17"/>
      <x:c r="K153" s="17"/>
      <x:c r="L153" s="17"/>
      <x:c r="M153" s="17"/>
      <x:c r="N153" s="16" t="str">
        <x:f>IF(A153="","",COUNT(F153,H153,J153,L153)&gt;=INDEX(Accessory_Config!$D$6:$D$30,MATCH(C153,Accessory_Config!$B$6:$B$30,0)))</x:f>
      </x:c>
      <x:c r="O153" s="16" t="str">
        <x:f>IF(A153="","",AND(N153,MIN(F153,H153,J153,IF(INDEX(Accessory_Config!$D$6:$D$30,MATCH(C153,Accessory_Config!$B$6:$B$30,0))=4,L153,999))&gt;=INDEX(Accessory_Config!$F$6:$F$30,MATCH(C153,Accessory_Config!$B$6:$B$30,0)),MIN(G153,I153,K153,IF(INDEX(Accessory_Config!$D$6:$D$30,MATCH(C153,Accessory_Config!$B$6:$B$30,0))=4,M153,999))&gt;=2))</x:f>
      </x:c>
      <x:c r="P153" s="19" t="str">
        <x:f>IF(A153="","",IF(E153="","",IF(O153,E153+INDEX(Accessory_Config!$H$6:$H$30,MATCH(C153,Accessory_Config!$B$6:$B$30,0)),E153)))</x:f>
      </x:c>
      <x:c r="Q153" s="17"/>
    </x:row>
    <x:row r="154">
      <x:c r="A154" s="30"/>
      <x:c r="B154" s="17"/>
      <x:c r="C154" s="17"/>
      <x:c r="D154" s="17"/>
      <x:c r="E154" s="31"/>
      <x:c r="F154" s="17"/>
      <x:c r="G154" s="17"/>
      <x:c r="H154" s="17"/>
      <x:c r="I154" s="17"/>
      <x:c r="J154" s="17"/>
      <x:c r="K154" s="17"/>
      <x:c r="L154" s="17"/>
      <x:c r="M154" s="17"/>
      <x:c r="N154" s="16" t="str">
        <x:f>IF(A154="","",COUNT(F154,H154,J154,L154)&gt;=INDEX(Accessory_Config!$D$6:$D$30,MATCH(C154,Accessory_Config!$B$6:$B$30,0)))</x:f>
      </x:c>
      <x:c r="O154" s="16" t="str">
        <x:f>IF(A154="","",AND(N154,MIN(F154,H154,J154,IF(INDEX(Accessory_Config!$D$6:$D$30,MATCH(C154,Accessory_Config!$B$6:$B$30,0))=4,L154,999))&gt;=INDEX(Accessory_Config!$F$6:$F$30,MATCH(C154,Accessory_Config!$B$6:$B$30,0)),MIN(G154,I154,K154,IF(INDEX(Accessory_Config!$D$6:$D$30,MATCH(C154,Accessory_Config!$B$6:$B$30,0))=4,M154,999))&gt;=2))</x:f>
      </x:c>
      <x:c r="P154" s="19" t="str">
        <x:f>IF(A154="","",IF(E154="","",IF(O154,E154+INDEX(Accessory_Config!$H$6:$H$30,MATCH(C154,Accessory_Config!$B$6:$B$30,0)),E154)))</x:f>
      </x:c>
      <x:c r="Q154" s="17"/>
    </x:row>
    <x:row r="155">
      <x:c r="A155" s="30"/>
      <x:c r="B155" s="17"/>
      <x:c r="C155" s="17"/>
      <x:c r="D155" s="17"/>
      <x:c r="E155" s="31"/>
      <x:c r="F155" s="17"/>
      <x:c r="G155" s="17"/>
      <x:c r="H155" s="17"/>
      <x:c r="I155" s="17"/>
      <x:c r="J155" s="17"/>
      <x:c r="K155" s="17"/>
      <x:c r="L155" s="17"/>
      <x:c r="M155" s="17"/>
      <x:c r="N155" s="16" t="str">
        <x:f>IF(A155="","",COUNT(F155,H155,J155,L155)&gt;=INDEX(Accessory_Config!$D$6:$D$30,MATCH(C155,Accessory_Config!$B$6:$B$30,0)))</x:f>
      </x:c>
      <x:c r="O155" s="16" t="str">
        <x:f>IF(A155="","",AND(N155,MIN(F155,H155,J155,IF(INDEX(Accessory_Config!$D$6:$D$30,MATCH(C155,Accessory_Config!$B$6:$B$30,0))=4,L155,999))&gt;=INDEX(Accessory_Config!$F$6:$F$30,MATCH(C155,Accessory_Config!$B$6:$B$30,0)),MIN(G155,I155,K155,IF(INDEX(Accessory_Config!$D$6:$D$30,MATCH(C155,Accessory_Config!$B$6:$B$30,0))=4,M155,999))&gt;=2))</x:f>
      </x:c>
      <x:c r="P155" s="19" t="str">
        <x:f>IF(A155="","",IF(E155="","",IF(O155,E155+INDEX(Accessory_Config!$H$6:$H$30,MATCH(C155,Accessory_Config!$B$6:$B$30,0)),E155)))</x:f>
      </x:c>
      <x:c r="Q155" s="17"/>
    </x:row>
    <x:row r="156">
      <x:c r="A156" s="30"/>
      <x:c r="B156" s="17"/>
      <x:c r="C156" s="17"/>
      <x:c r="D156" s="17"/>
      <x:c r="E156" s="31"/>
      <x:c r="F156" s="17"/>
      <x:c r="G156" s="17"/>
      <x:c r="H156" s="17"/>
      <x:c r="I156" s="17"/>
      <x:c r="J156" s="17"/>
      <x:c r="K156" s="17"/>
      <x:c r="L156" s="17"/>
      <x:c r="M156" s="17"/>
      <x:c r="N156" s="16" t="str">
        <x:f>IF(A156="","",COUNT(F156,H156,J156,L156)&gt;=INDEX(Accessory_Config!$D$6:$D$30,MATCH(C156,Accessory_Config!$B$6:$B$30,0)))</x:f>
      </x:c>
      <x:c r="O156" s="16" t="str">
        <x:f>IF(A156="","",AND(N156,MIN(F156,H156,J156,IF(INDEX(Accessory_Config!$D$6:$D$30,MATCH(C156,Accessory_Config!$B$6:$B$30,0))=4,L156,999))&gt;=INDEX(Accessory_Config!$F$6:$F$30,MATCH(C156,Accessory_Config!$B$6:$B$30,0)),MIN(G156,I156,K156,IF(INDEX(Accessory_Config!$D$6:$D$30,MATCH(C156,Accessory_Config!$B$6:$B$30,0))=4,M156,999))&gt;=2))</x:f>
      </x:c>
      <x:c r="P156" s="19" t="str">
        <x:f>IF(A156="","",IF(E156="","",IF(O156,E156+INDEX(Accessory_Config!$H$6:$H$30,MATCH(C156,Accessory_Config!$B$6:$B$30,0)),E156)))</x:f>
      </x:c>
      <x:c r="Q156" s="17"/>
    </x:row>
    <x:row r="157">
      <x:c r="A157" s="30"/>
      <x:c r="B157" s="17"/>
      <x:c r="C157" s="17"/>
      <x:c r="D157" s="17"/>
      <x:c r="E157" s="31"/>
      <x:c r="F157" s="17"/>
      <x:c r="G157" s="17"/>
      <x:c r="H157" s="17"/>
      <x:c r="I157" s="17"/>
      <x:c r="J157" s="17"/>
      <x:c r="K157" s="17"/>
      <x:c r="L157" s="17"/>
      <x:c r="M157" s="17"/>
      <x:c r="N157" s="16" t="str">
        <x:f>IF(A157="","",COUNT(F157,H157,J157,L157)&gt;=INDEX(Accessory_Config!$D$6:$D$30,MATCH(C157,Accessory_Config!$B$6:$B$30,0)))</x:f>
      </x:c>
      <x:c r="O157" s="16" t="str">
        <x:f>IF(A157="","",AND(N157,MIN(F157,H157,J157,IF(INDEX(Accessory_Config!$D$6:$D$30,MATCH(C157,Accessory_Config!$B$6:$B$30,0))=4,L157,999))&gt;=INDEX(Accessory_Config!$F$6:$F$30,MATCH(C157,Accessory_Config!$B$6:$B$30,0)),MIN(G157,I157,K157,IF(INDEX(Accessory_Config!$D$6:$D$30,MATCH(C157,Accessory_Config!$B$6:$B$30,0))=4,M157,999))&gt;=2))</x:f>
      </x:c>
      <x:c r="P157" s="19" t="str">
        <x:f>IF(A157="","",IF(E157="","",IF(O157,E157+INDEX(Accessory_Config!$H$6:$H$30,MATCH(C157,Accessory_Config!$B$6:$B$30,0)),E157)))</x:f>
      </x:c>
      <x:c r="Q157" s="17"/>
    </x:row>
    <x:row r="158">
      <x:c r="A158" s="30"/>
      <x:c r="B158" s="17"/>
      <x:c r="C158" s="17"/>
      <x:c r="D158" s="17"/>
      <x:c r="E158" s="31"/>
      <x:c r="F158" s="17"/>
      <x:c r="G158" s="17"/>
      <x:c r="H158" s="17"/>
      <x:c r="I158" s="17"/>
      <x:c r="J158" s="17"/>
      <x:c r="K158" s="17"/>
      <x:c r="L158" s="17"/>
      <x:c r="M158" s="17"/>
      <x:c r="N158" s="16" t="str">
        <x:f>IF(A158="","",COUNT(F158,H158,J158,L158)&gt;=INDEX(Accessory_Config!$D$6:$D$30,MATCH(C158,Accessory_Config!$B$6:$B$30,0)))</x:f>
      </x:c>
      <x:c r="O158" s="16" t="str">
        <x:f>IF(A158="","",AND(N158,MIN(F158,H158,J158,IF(INDEX(Accessory_Config!$D$6:$D$30,MATCH(C158,Accessory_Config!$B$6:$B$30,0))=4,L158,999))&gt;=INDEX(Accessory_Config!$F$6:$F$30,MATCH(C158,Accessory_Config!$B$6:$B$30,0)),MIN(G158,I158,K158,IF(INDEX(Accessory_Config!$D$6:$D$30,MATCH(C158,Accessory_Config!$B$6:$B$30,0))=4,M158,999))&gt;=2))</x:f>
      </x:c>
      <x:c r="P158" s="19" t="str">
        <x:f>IF(A158="","",IF(E158="","",IF(O158,E158+INDEX(Accessory_Config!$H$6:$H$30,MATCH(C158,Accessory_Config!$B$6:$B$30,0)),E158)))</x:f>
      </x:c>
      <x:c r="Q158" s="17"/>
    </x:row>
    <x:row r="159">
      <x:c r="A159" s="30"/>
      <x:c r="B159" s="17"/>
      <x:c r="C159" s="17"/>
      <x:c r="D159" s="17"/>
      <x:c r="E159" s="31"/>
      <x:c r="F159" s="17"/>
      <x:c r="G159" s="17"/>
      <x:c r="H159" s="17"/>
      <x:c r="I159" s="17"/>
      <x:c r="J159" s="17"/>
      <x:c r="K159" s="17"/>
      <x:c r="L159" s="17"/>
      <x:c r="M159" s="17"/>
      <x:c r="N159" s="16" t="str">
        <x:f>IF(A159="","",COUNT(F159,H159,J159,L159)&gt;=INDEX(Accessory_Config!$D$6:$D$30,MATCH(C159,Accessory_Config!$B$6:$B$30,0)))</x:f>
      </x:c>
      <x:c r="O159" s="16" t="str">
        <x:f>IF(A159="","",AND(N159,MIN(F159,H159,J159,IF(INDEX(Accessory_Config!$D$6:$D$30,MATCH(C159,Accessory_Config!$B$6:$B$30,0))=4,L159,999))&gt;=INDEX(Accessory_Config!$F$6:$F$30,MATCH(C159,Accessory_Config!$B$6:$B$30,0)),MIN(G159,I159,K159,IF(INDEX(Accessory_Config!$D$6:$D$30,MATCH(C159,Accessory_Config!$B$6:$B$30,0))=4,M159,999))&gt;=2))</x:f>
      </x:c>
      <x:c r="P159" s="19" t="str">
        <x:f>IF(A159="","",IF(E159="","",IF(O159,E159+INDEX(Accessory_Config!$H$6:$H$30,MATCH(C159,Accessory_Config!$B$6:$B$30,0)),E159)))</x:f>
      </x:c>
      <x:c r="Q159" s="17"/>
    </x:row>
    <x:row r="160">
      <x:c r="A160" s="30"/>
      <x:c r="B160" s="17"/>
      <x:c r="C160" s="17"/>
      <x:c r="D160" s="17"/>
      <x:c r="E160" s="31"/>
      <x:c r="F160" s="17"/>
      <x:c r="G160" s="17"/>
      <x:c r="H160" s="17"/>
      <x:c r="I160" s="17"/>
      <x:c r="J160" s="17"/>
      <x:c r="K160" s="17"/>
      <x:c r="L160" s="17"/>
      <x:c r="M160" s="17"/>
      <x:c r="N160" s="16" t="str">
        <x:f>IF(A160="","",COUNT(F160,H160,J160,L160)&gt;=INDEX(Accessory_Config!$D$6:$D$30,MATCH(C160,Accessory_Config!$B$6:$B$30,0)))</x:f>
      </x:c>
      <x:c r="O160" s="16" t="str">
        <x:f>IF(A160="","",AND(N160,MIN(F160,H160,J160,IF(INDEX(Accessory_Config!$D$6:$D$30,MATCH(C160,Accessory_Config!$B$6:$B$30,0))=4,L160,999))&gt;=INDEX(Accessory_Config!$F$6:$F$30,MATCH(C160,Accessory_Config!$B$6:$B$30,0)),MIN(G160,I160,K160,IF(INDEX(Accessory_Config!$D$6:$D$30,MATCH(C160,Accessory_Config!$B$6:$B$30,0))=4,M160,999))&gt;=2))</x:f>
      </x:c>
      <x:c r="P160" s="19" t="str">
        <x:f>IF(A160="","",IF(E160="","",IF(O160,E160+INDEX(Accessory_Config!$H$6:$H$30,MATCH(C160,Accessory_Config!$B$6:$B$30,0)),E160)))</x:f>
      </x:c>
      <x:c r="Q160" s="17"/>
    </x:row>
    <x:row r="161">
      <x:c r="A161" s="30"/>
      <x:c r="B161" s="17"/>
      <x:c r="C161" s="17"/>
      <x:c r="D161" s="17"/>
      <x:c r="E161" s="31"/>
      <x:c r="F161" s="17"/>
      <x:c r="G161" s="17"/>
      <x:c r="H161" s="17"/>
      <x:c r="I161" s="17"/>
      <x:c r="J161" s="17"/>
      <x:c r="K161" s="17"/>
      <x:c r="L161" s="17"/>
      <x:c r="M161" s="17"/>
      <x:c r="N161" s="16" t="str">
        <x:f>IF(A161="","",COUNT(F161,H161,J161,L161)&gt;=INDEX(Accessory_Config!$D$6:$D$30,MATCH(C161,Accessory_Config!$B$6:$B$30,0)))</x:f>
      </x:c>
      <x:c r="O161" s="16" t="str">
        <x:f>IF(A161="","",AND(N161,MIN(F161,H161,J161,IF(INDEX(Accessory_Config!$D$6:$D$30,MATCH(C161,Accessory_Config!$B$6:$B$30,0))=4,L161,999))&gt;=INDEX(Accessory_Config!$F$6:$F$30,MATCH(C161,Accessory_Config!$B$6:$B$30,0)),MIN(G161,I161,K161,IF(INDEX(Accessory_Config!$D$6:$D$30,MATCH(C161,Accessory_Config!$B$6:$B$30,0))=4,M161,999))&gt;=2))</x:f>
      </x:c>
      <x:c r="P161" s="19" t="str">
        <x:f>IF(A161="","",IF(E161="","",IF(O161,E161+INDEX(Accessory_Config!$H$6:$H$30,MATCH(C161,Accessory_Config!$B$6:$B$30,0)),E161)))</x:f>
      </x:c>
      <x:c r="Q161" s="17"/>
    </x:row>
    <x:row r="162">
      <x:c r="A162" s="30"/>
      <x:c r="B162" s="17"/>
      <x:c r="C162" s="17"/>
      <x:c r="D162" s="17"/>
      <x:c r="E162" s="31"/>
      <x:c r="F162" s="17"/>
      <x:c r="G162" s="17"/>
      <x:c r="H162" s="17"/>
      <x:c r="I162" s="17"/>
      <x:c r="J162" s="17"/>
      <x:c r="K162" s="17"/>
      <x:c r="L162" s="17"/>
      <x:c r="M162" s="17"/>
      <x:c r="N162" s="16" t="str">
        <x:f>IF(A162="","",COUNT(F162,H162,J162,L162)&gt;=INDEX(Accessory_Config!$D$6:$D$30,MATCH(C162,Accessory_Config!$B$6:$B$30,0)))</x:f>
      </x:c>
      <x:c r="O162" s="16" t="str">
        <x:f>IF(A162="","",AND(N162,MIN(F162,H162,J162,IF(INDEX(Accessory_Config!$D$6:$D$30,MATCH(C162,Accessory_Config!$B$6:$B$30,0))=4,L162,999))&gt;=INDEX(Accessory_Config!$F$6:$F$30,MATCH(C162,Accessory_Config!$B$6:$B$30,0)),MIN(G162,I162,K162,IF(INDEX(Accessory_Config!$D$6:$D$30,MATCH(C162,Accessory_Config!$B$6:$B$30,0))=4,M162,999))&gt;=2))</x:f>
      </x:c>
      <x:c r="P162" s="19" t="str">
        <x:f>IF(A162="","",IF(E162="","",IF(O162,E162+INDEX(Accessory_Config!$H$6:$H$30,MATCH(C162,Accessory_Config!$B$6:$B$30,0)),E162)))</x:f>
      </x:c>
      <x:c r="Q162" s="17"/>
    </x:row>
    <x:row r="163">
      <x:c r="A163" s="30"/>
      <x:c r="B163" s="17"/>
      <x:c r="C163" s="17"/>
      <x:c r="D163" s="17"/>
      <x:c r="E163" s="31"/>
      <x:c r="F163" s="17"/>
      <x:c r="G163" s="17"/>
      <x:c r="H163" s="17"/>
      <x:c r="I163" s="17"/>
      <x:c r="J163" s="17"/>
      <x:c r="K163" s="17"/>
      <x:c r="L163" s="17"/>
      <x:c r="M163" s="17"/>
      <x:c r="N163" s="16" t="str">
        <x:f>IF(A163="","",COUNT(F163,H163,J163,L163)&gt;=INDEX(Accessory_Config!$D$6:$D$30,MATCH(C163,Accessory_Config!$B$6:$B$30,0)))</x:f>
      </x:c>
      <x:c r="O163" s="16" t="str">
        <x:f>IF(A163="","",AND(N163,MIN(F163,H163,J163,IF(INDEX(Accessory_Config!$D$6:$D$30,MATCH(C163,Accessory_Config!$B$6:$B$30,0))=4,L163,999))&gt;=INDEX(Accessory_Config!$F$6:$F$30,MATCH(C163,Accessory_Config!$B$6:$B$30,0)),MIN(G163,I163,K163,IF(INDEX(Accessory_Config!$D$6:$D$30,MATCH(C163,Accessory_Config!$B$6:$B$30,0))=4,M163,999))&gt;=2))</x:f>
      </x:c>
      <x:c r="P163" s="19" t="str">
        <x:f>IF(A163="","",IF(E163="","",IF(O163,E163+INDEX(Accessory_Config!$H$6:$H$30,MATCH(C163,Accessory_Config!$B$6:$B$30,0)),E163)))</x:f>
      </x:c>
      <x:c r="Q163" s="17"/>
    </x:row>
    <x:row r="164">
      <x:c r="A164" s="30"/>
      <x:c r="B164" s="17"/>
      <x:c r="C164" s="17"/>
      <x:c r="D164" s="17"/>
      <x:c r="E164" s="31"/>
      <x:c r="F164" s="17"/>
      <x:c r="G164" s="17"/>
      <x:c r="H164" s="17"/>
      <x:c r="I164" s="17"/>
      <x:c r="J164" s="17"/>
      <x:c r="K164" s="17"/>
      <x:c r="L164" s="17"/>
      <x:c r="M164" s="17"/>
      <x:c r="N164" s="16" t="str">
        <x:f>IF(A164="","",COUNT(F164,H164,J164,L164)&gt;=INDEX(Accessory_Config!$D$6:$D$30,MATCH(C164,Accessory_Config!$B$6:$B$30,0)))</x:f>
      </x:c>
      <x:c r="O164" s="16" t="str">
        <x:f>IF(A164="","",AND(N164,MIN(F164,H164,J164,IF(INDEX(Accessory_Config!$D$6:$D$30,MATCH(C164,Accessory_Config!$B$6:$B$30,0))=4,L164,999))&gt;=INDEX(Accessory_Config!$F$6:$F$30,MATCH(C164,Accessory_Config!$B$6:$B$30,0)),MIN(G164,I164,K164,IF(INDEX(Accessory_Config!$D$6:$D$30,MATCH(C164,Accessory_Config!$B$6:$B$30,0))=4,M164,999))&gt;=2))</x:f>
      </x:c>
      <x:c r="P164" s="19" t="str">
        <x:f>IF(A164="","",IF(E164="","",IF(O164,E164+INDEX(Accessory_Config!$H$6:$H$30,MATCH(C164,Accessory_Config!$B$6:$B$30,0)),E164)))</x:f>
      </x:c>
      <x:c r="Q164" s="17"/>
    </x:row>
    <x:row r="165">
      <x:c r="A165" s="30"/>
      <x:c r="B165" s="17"/>
      <x:c r="C165" s="17"/>
      <x:c r="D165" s="17"/>
      <x:c r="E165" s="31"/>
      <x:c r="F165" s="17"/>
      <x:c r="G165" s="17"/>
      <x:c r="H165" s="17"/>
      <x:c r="I165" s="17"/>
      <x:c r="J165" s="17"/>
      <x:c r="K165" s="17"/>
      <x:c r="L165" s="17"/>
      <x:c r="M165" s="17"/>
      <x:c r="N165" s="16" t="str">
        <x:f>IF(A165="","",COUNT(F165,H165,J165,L165)&gt;=INDEX(Accessory_Config!$D$6:$D$30,MATCH(C165,Accessory_Config!$B$6:$B$30,0)))</x:f>
      </x:c>
      <x:c r="O165" s="16" t="str">
        <x:f>IF(A165="","",AND(N165,MIN(F165,H165,J165,IF(INDEX(Accessory_Config!$D$6:$D$30,MATCH(C165,Accessory_Config!$B$6:$B$30,0))=4,L165,999))&gt;=INDEX(Accessory_Config!$F$6:$F$30,MATCH(C165,Accessory_Config!$B$6:$B$30,0)),MIN(G165,I165,K165,IF(INDEX(Accessory_Config!$D$6:$D$30,MATCH(C165,Accessory_Config!$B$6:$B$30,0))=4,M165,999))&gt;=2))</x:f>
      </x:c>
      <x:c r="P165" s="19" t="str">
        <x:f>IF(A165="","",IF(E165="","",IF(O165,E165+INDEX(Accessory_Config!$H$6:$H$30,MATCH(C165,Accessory_Config!$B$6:$B$30,0)),E165)))</x:f>
      </x:c>
      <x:c r="Q165" s="17"/>
    </x:row>
    <x:row r="166">
      <x:c r="A166" s="30"/>
      <x:c r="B166" s="17"/>
      <x:c r="C166" s="17"/>
      <x:c r="D166" s="17"/>
      <x:c r="E166" s="31"/>
      <x:c r="F166" s="17"/>
      <x:c r="G166" s="17"/>
      <x:c r="H166" s="17"/>
      <x:c r="I166" s="17"/>
      <x:c r="J166" s="17"/>
      <x:c r="K166" s="17"/>
      <x:c r="L166" s="17"/>
      <x:c r="M166" s="17"/>
      <x:c r="N166" s="16" t="str">
        <x:f>IF(A166="","",COUNT(F166,H166,J166,L166)&gt;=INDEX(Accessory_Config!$D$6:$D$30,MATCH(C166,Accessory_Config!$B$6:$B$30,0)))</x:f>
      </x:c>
      <x:c r="O166" s="16" t="str">
        <x:f>IF(A166="","",AND(N166,MIN(F166,H166,J166,IF(INDEX(Accessory_Config!$D$6:$D$30,MATCH(C166,Accessory_Config!$B$6:$B$30,0))=4,L166,999))&gt;=INDEX(Accessory_Config!$F$6:$F$30,MATCH(C166,Accessory_Config!$B$6:$B$30,0)),MIN(G166,I166,K166,IF(INDEX(Accessory_Config!$D$6:$D$30,MATCH(C166,Accessory_Config!$B$6:$B$30,0))=4,M166,999))&gt;=2))</x:f>
      </x:c>
      <x:c r="P166" s="19" t="str">
        <x:f>IF(A166="","",IF(E166="","",IF(O166,E166+INDEX(Accessory_Config!$H$6:$H$30,MATCH(C166,Accessory_Config!$B$6:$B$30,0)),E166)))</x:f>
      </x:c>
      <x:c r="Q166" s="17"/>
    </x:row>
    <x:row r="167">
      <x:c r="A167" s="30"/>
      <x:c r="B167" s="17"/>
      <x:c r="C167" s="17"/>
      <x:c r="D167" s="17"/>
      <x:c r="E167" s="31"/>
      <x:c r="F167" s="17"/>
      <x:c r="G167" s="17"/>
      <x:c r="H167" s="17"/>
      <x:c r="I167" s="17"/>
      <x:c r="J167" s="17"/>
      <x:c r="K167" s="17"/>
      <x:c r="L167" s="17"/>
      <x:c r="M167" s="17"/>
      <x:c r="N167" s="16" t="str">
        <x:f>IF(A167="","",COUNT(F167,H167,J167,L167)&gt;=INDEX(Accessory_Config!$D$6:$D$30,MATCH(C167,Accessory_Config!$B$6:$B$30,0)))</x:f>
      </x:c>
      <x:c r="O167" s="16" t="str">
        <x:f>IF(A167="","",AND(N167,MIN(F167,H167,J167,IF(INDEX(Accessory_Config!$D$6:$D$30,MATCH(C167,Accessory_Config!$B$6:$B$30,0))=4,L167,999))&gt;=INDEX(Accessory_Config!$F$6:$F$30,MATCH(C167,Accessory_Config!$B$6:$B$30,0)),MIN(G167,I167,K167,IF(INDEX(Accessory_Config!$D$6:$D$30,MATCH(C167,Accessory_Config!$B$6:$B$30,0))=4,M167,999))&gt;=2))</x:f>
      </x:c>
      <x:c r="P167" s="19" t="str">
        <x:f>IF(A167="","",IF(E167="","",IF(O167,E167+INDEX(Accessory_Config!$H$6:$H$30,MATCH(C167,Accessory_Config!$B$6:$B$30,0)),E167)))</x:f>
      </x:c>
      <x:c r="Q167" s="17"/>
    </x:row>
    <x:row r="168">
      <x:c r="A168" s="30"/>
      <x:c r="B168" s="17"/>
      <x:c r="C168" s="17"/>
      <x:c r="D168" s="17"/>
      <x:c r="E168" s="31"/>
      <x:c r="F168" s="17"/>
      <x:c r="G168" s="17"/>
      <x:c r="H168" s="17"/>
      <x:c r="I168" s="17"/>
      <x:c r="J168" s="17"/>
      <x:c r="K168" s="17"/>
      <x:c r="L168" s="17"/>
      <x:c r="M168" s="17"/>
      <x:c r="N168" s="16" t="str">
        <x:f>IF(A168="","",COUNT(F168,H168,J168,L168)&gt;=INDEX(Accessory_Config!$D$6:$D$30,MATCH(C168,Accessory_Config!$B$6:$B$30,0)))</x:f>
      </x:c>
      <x:c r="O168" s="16" t="str">
        <x:f>IF(A168="","",AND(N168,MIN(F168,H168,J168,IF(INDEX(Accessory_Config!$D$6:$D$30,MATCH(C168,Accessory_Config!$B$6:$B$30,0))=4,L168,999))&gt;=INDEX(Accessory_Config!$F$6:$F$30,MATCH(C168,Accessory_Config!$B$6:$B$30,0)),MIN(G168,I168,K168,IF(INDEX(Accessory_Config!$D$6:$D$30,MATCH(C168,Accessory_Config!$B$6:$B$30,0))=4,M168,999))&gt;=2))</x:f>
      </x:c>
      <x:c r="P168" s="19" t="str">
        <x:f>IF(A168="","",IF(E168="","",IF(O168,E168+INDEX(Accessory_Config!$H$6:$H$30,MATCH(C168,Accessory_Config!$B$6:$B$30,0)),E168)))</x:f>
      </x:c>
      <x:c r="Q168" s="17"/>
    </x:row>
    <x:row r="169">
      <x:c r="A169" s="30"/>
      <x:c r="B169" s="17"/>
      <x:c r="C169" s="17"/>
      <x:c r="D169" s="17"/>
      <x:c r="E169" s="31"/>
      <x:c r="F169" s="17"/>
      <x:c r="G169" s="17"/>
      <x:c r="H169" s="17"/>
      <x:c r="I169" s="17"/>
      <x:c r="J169" s="17"/>
      <x:c r="K169" s="17"/>
      <x:c r="L169" s="17"/>
      <x:c r="M169" s="17"/>
      <x:c r="N169" s="16" t="str">
        <x:f>IF(A169="","",COUNT(F169,H169,J169,L169)&gt;=INDEX(Accessory_Config!$D$6:$D$30,MATCH(C169,Accessory_Config!$B$6:$B$30,0)))</x:f>
      </x:c>
      <x:c r="O169" s="16" t="str">
        <x:f>IF(A169="","",AND(N169,MIN(F169,H169,J169,IF(INDEX(Accessory_Config!$D$6:$D$30,MATCH(C169,Accessory_Config!$B$6:$B$30,0))=4,L169,999))&gt;=INDEX(Accessory_Config!$F$6:$F$30,MATCH(C169,Accessory_Config!$B$6:$B$30,0)),MIN(G169,I169,K169,IF(INDEX(Accessory_Config!$D$6:$D$30,MATCH(C169,Accessory_Config!$B$6:$B$30,0))=4,M169,999))&gt;=2))</x:f>
      </x:c>
      <x:c r="P169" s="19" t="str">
        <x:f>IF(A169="","",IF(E169="","",IF(O169,E169+INDEX(Accessory_Config!$H$6:$H$30,MATCH(C169,Accessory_Config!$B$6:$B$30,0)),E169)))</x:f>
      </x:c>
      <x:c r="Q169" s="17"/>
    </x:row>
    <x:row r="170">
      <x:c r="A170" s="30"/>
      <x:c r="B170" s="17"/>
      <x:c r="C170" s="17"/>
      <x:c r="D170" s="17"/>
      <x:c r="E170" s="31"/>
      <x:c r="F170" s="17"/>
      <x:c r="G170" s="17"/>
      <x:c r="H170" s="17"/>
      <x:c r="I170" s="17"/>
      <x:c r="J170" s="17"/>
      <x:c r="K170" s="17"/>
      <x:c r="L170" s="17"/>
      <x:c r="M170" s="17"/>
      <x:c r="N170" s="16" t="str">
        <x:f>IF(A170="","",COUNT(F170,H170,J170,L170)&gt;=INDEX(Accessory_Config!$D$6:$D$30,MATCH(C170,Accessory_Config!$B$6:$B$30,0)))</x:f>
      </x:c>
      <x:c r="O170" s="16" t="str">
        <x:f>IF(A170="","",AND(N170,MIN(F170,H170,J170,IF(INDEX(Accessory_Config!$D$6:$D$30,MATCH(C170,Accessory_Config!$B$6:$B$30,0))=4,L170,999))&gt;=INDEX(Accessory_Config!$F$6:$F$30,MATCH(C170,Accessory_Config!$B$6:$B$30,0)),MIN(G170,I170,K170,IF(INDEX(Accessory_Config!$D$6:$D$30,MATCH(C170,Accessory_Config!$B$6:$B$30,0))=4,M170,999))&gt;=2))</x:f>
      </x:c>
      <x:c r="P170" s="19" t="str">
        <x:f>IF(A170="","",IF(E170="","",IF(O170,E170+INDEX(Accessory_Config!$H$6:$H$30,MATCH(C170,Accessory_Config!$B$6:$B$30,0)),E170)))</x:f>
      </x:c>
      <x:c r="Q170" s="17"/>
    </x:row>
    <x:row r="171">
      <x:c r="A171" s="30"/>
      <x:c r="B171" s="17"/>
      <x:c r="C171" s="17"/>
      <x:c r="D171" s="17"/>
      <x:c r="E171" s="31"/>
      <x:c r="F171" s="17"/>
      <x:c r="G171" s="17"/>
      <x:c r="H171" s="17"/>
      <x:c r="I171" s="17"/>
      <x:c r="J171" s="17"/>
      <x:c r="K171" s="17"/>
      <x:c r="L171" s="17"/>
      <x:c r="M171" s="17"/>
      <x:c r="N171" s="16" t="str">
        <x:f>IF(A171="","",COUNT(F171,H171,J171,L171)&gt;=INDEX(Accessory_Config!$D$6:$D$30,MATCH(C171,Accessory_Config!$B$6:$B$30,0)))</x:f>
      </x:c>
      <x:c r="O171" s="16" t="str">
        <x:f>IF(A171="","",AND(N171,MIN(F171,H171,J171,IF(INDEX(Accessory_Config!$D$6:$D$30,MATCH(C171,Accessory_Config!$B$6:$B$30,0))=4,L171,999))&gt;=INDEX(Accessory_Config!$F$6:$F$30,MATCH(C171,Accessory_Config!$B$6:$B$30,0)),MIN(G171,I171,K171,IF(INDEX(Accessory_Config!$D$6:$D$30,MATCH(C171,Accessory_Config!$B$6:$B$30,0))=4,M171,999))&gt;=2))</x:f>
      </x:c>
      <x:c r="P171" s="19" t="str">
        <x:f>IF(A171="","",IF(E171="","",IF(O171,E171+INDEX(Accessory_Config!$H$6:$H$30,MATCH(C171,Accessory_Config!$B$6:$B$30,0)),E171)))</x:f>
      </x:c>
      <x:c r="Q171" s="17"/>
    </x:row>
    <x:row r="172">
      <x:c r="A172" s="30"/>
      <x:c r="B172" s="17"/>
      <x:c r="C172" s="17"/>
      <x:c r="D172" s="17"/>
      <x:c r="E172" s="31"/>
      <x:c r="F172" s="17"/>
      <x:c r="G172" s="17"/>
      <x:c r="H172" s="17"/>
      <x:c r="I172" s="17"/>
      <x:c r="J172" s="17"/>
      <x:c r="K172" s="17"/>
      <x:c r="L172" s="17"/>
      <x:c r="M172" s="17"/>
      <x:c r="N172" s="16" t="str">
        <x:f>IF(A172="","",COUNT(F172,H172,J172,L172)&gt;=INDEX(Accessory_Config!$D$6:$D$30,MATCH(C172,Accessory_Config!$B$6:$B$30,0)))</x:f>
      </x:c>
      <x:c r="O172" s="16" t="str">
        <x:f>IF(A172="","",AND(N172,MIN(F172,H172,J172,IF(INDEX(Accessory_Config!$D$6:$D$30,MATCH(C172,Accessory_Config!$B$6:$B$30,0))=4,L172,999))&gt;=INDEX(Accessory_Config!$F$6:$F$30,MATCH(C172,Accessory_Config!$B$6:$B$30,0)),MIN(G172,I172,K172,IF(INDEX(Accessory_Config!$D$6:$D$30,MATCH(C172,Accessory_Config!$B$6:$B$30,0))=4,M172,999))&gt;=2))</x:f>
      </x:c>
      <x:c r="P172" s="19" t="str">
        <x:f>IF(A172="","",IF(E172="","",IF(O172,E172+INDEX(Accessory_Config!$H$6:$H$30,MATCH(C172,Accessory_Config!$B$6:$B$30,0)),E172)))</x:f>
      </x:c>
      <x:c r="Q172" s="17"/>
    </x:row>
    <x:row r="173">
      <x:c r="A173" s="30"/>
      <x:c r="B173" s="17"/>
      <x:c r="C173" s="17"/>
      <x:c r="D173" s="17"/>
      <x:c r="E173" s="31"/>
      <x:c r="F173" s="17"/>
      <x:c r="G173" s="17"/>
      <x:c r="H173" s="17"/>
      <x:c r="I173" s="17"/>
      <x:c r="J173" s="17"/>
      <x:c r="K173" s="17"/>
      <x:c r="L173" s="17"/>
      <x:c r="M173" s="17"/>
      <x:c r="N173" s="16" t="str">
        <x:f>IF(A173="","",COUNT(F173,H173,J173,L173)&gt;=INDEX(Accessory_Config!$D$6:$D$30,MATCH(C173,Accessory_Config!$B$6:$B$30,0)))</x:f>
      </x:c>
      <x:c r="O173" s="16" t="str">
        <x:f>IF(A173="","",AND(N173,MIN(F173,H173,J173,IF(INDEX(Accessory_Config!$D$6:$D$30,MATCH(C173,Accessory_Config!$B$6:$B$30,0))=4,L173,999))&gt;=INDEX(Accessory_Config!$F$6:$F$30,MATCH(C173,Accessory_Config!$B$6:$B$30,0)),MIN(G173,I173,K173,IF(INDEX(Accessory_Config!$D$6:$D$30,MATCH(C173,Accessory_Config!$B$6:$B$30,0))=4,M173,999))&gt;=2))</x:f>
      </x:c>
      <x:c r="P173" s="19" t="str">
        <x:f>IF(A173="","",IF(E173="","",IF(O173,E173+INDEX(Accessory_Config!$H$6:$H$30,MATCH(C173,Accessory_Config!$B$6:$B$30,0)),E173)))</x:f>
      </x:c>
      <x:c r="Q173" s="17"/>
    </x:row>
    <x:row r="174">
      <x:c r="A174" s="30"/>
      <x:c r="B174" s="17"/>
      <x:c r="C174" s="17"/>
      <x:c r="D174" s="17"/>
      <x:c r="E174" s="31"/>
      <x:c r="F174" s="17"/>
      <x:c r="G174" s="17"/>
      <x:c r="H174" s="17"/>
      <x:c r="I174" s="17"/>
      <x:c r="J174" s="17"/>
      <x:c r="K174" s="17"/>
      <x:c r="L174" s="17"/>
      <x:c r="M174" s="17"/>
      <x:c r="N174" s="16" t="str">
        <x:f>IF(A174="","",COUNT(F174,H174,J174,L174)&gt;=INDEX(Accessory_Config!$D$6:$D$30,MATCH(C174,Accessory_Config!$B$6:$B$30,0)))</x:f>
      </x:c>
      <x:c r="O174" s="16" t="str">
        <x:f>IF(A174="","",AND(N174,MIN(F174,H174,J174,IF(INDEX(Accessory_Config!$D$6:$D$30,MATCH(C174,Accessory_Config!$B$6:$B$30,0))=4,L174,999))&gt;=INDEX(Accessory_Config!$F$6:$F$30,MATCH(C174,Accessory_Config!$B$6:$B$30,0)),MIN(G174,I174,K174,IF(INDEX(Accessory_Config!$D$6:$D$30,MATCH(C174,Accessory_Config!$B$6:$B$30,0))=4,M174,999))&gt;=2))</x:f>
      </x:c>
      <x:c r="P174" s="19" t="str">
        <x:f>IF(A174="","",IF(E174="","",IF(O174,E174+INDEX(Accessory_Config!$H$6:$H$30,MATCH(C174,Accessory_Config!$B$6:$B$30,0)),E174)))</x:f>
      </x:c>
      <x:c r="Q174" s="17"/>
    </x:row>
    <x:row r="175">
      <x:c r="A175" s="30"/>
      <x:c r="B175" s="17"/>
      <x:c r="C175" s="17"/>
      <x:c r="D175" s="17"/>
      <x:c r="E175" s="31"/>
      <x:c r="F175" s="17"/>
      <x:c r="G175" s="17"/>
      <x:c r="H175" s="17"/>
      <x:c r="I175" s="17"/>
      <x:c r="J175" s="17"/>
      <x:c r="K175" s="17"/>
      <x:c r="L175" s="17"/>
      <x:c r="M175" s="17"/>
      <x:c r="N175" s="16" t="str">
        <x:f>IF(A175="","",COUNT(F175,H175,J175,L175)&gt;=INDEX(Accessory_Config!$D$6:$D$30,MATCH(C175,Accessory_Config!$B$6:$B$30,0)))</x:f>
      </x:c>
      <x:c r="O175" s="16" t="str">
        <x:f>IF(A175="","",AND(N175,MIN(F175,H175,J175,IF(INDEX(Accessory_Config!$D$6:$D$30,MATCH(C175,Accessory_Config!$B$6:$B$30,0))=4,L175,999))&gt;=INDEX(Accessory_Config!$F$6:$F$30,MATCH(C175,Accessory_Config!$B$6:$B$30,0)),MIN(G175,I175,K175,IF(INDEX(Accessory_Config!$D$6:$D$30,MATCH(C175,Accessory_Config!$B$6:$B$30,0))=4,M175,999))&gt;=2))</x:f>
      </x:c>
      <x:c r="P175" s="19" t="str">
        <x:f>IF(A175="","",IF(E175="","",IF(O175,E175+INDEX(Accessory_Config!$H$6:$H$30,MATCH(C175,Accessory_Config!$B$6:$B$30,0)),E175)))</x:f>
      </x:c>
      <x:c r="Q175" s="17"/>
    </x:row>
    <x:row r="176">
      <x:c r="A176" s="30"/>
      <x:c r="B176" s="17"/>
      <x:c r="C176" s="17"/>
      <x:c r="D176" s="17"/>
      <x:c r="E176" s="31"/>
      <x:c r="F176" s="17"/>
      <x:c r="G176" s="17"/>
      <x:c r="H176" s="17"/>
      <x:c r="I176" s="17"/>
      <x:c r="J176" s="17"/>
      <x:c r="K176" s="17"/>
      <x:c r="L176" s="17"/>
      <x:c r="M176" s="17"/>
      <x:c r="N176" s="16" t="str">
        <x:f>IF(A176="","",COUNT(F176,H176,J176,L176)&gt;=INDEX(Accessory_Config!$D$6:$D$30,MATCH(C176,Accessory_Config!$B$6:$B$30,0)))</x:f>
      </x:c>
      <x:c r="O176" s="16" t="str">
        <x:f>IF(A176="","",AND(N176,MIN(F176,H176,J176,IF(INDEX(Accessory_Config!$D$6:$D$30,MATCH(C176,Accessory_Config!$B$6:$B$30,0))=4,L176,999))&gt;=INDEX(Accessory_Config!$F$6:$F$30,MATCH(C176,Accessory_Config!$B$6:$B$30,0)),MIN(G176,I176,K176,IF(INDEX(Accessory_Config!$D$6:$D$30,MATCH(C176,Accessory_Config!$B$6:$B$30,0))=4,M176,999))&gt;=2))</x:f>
      </x:c>
      <x:c r="P176" s="19" t="str">
        <x:f>IF(A176="","",IF(E176="","",IF(O176,E176+INDEX(Accessory_Config!$H$6:$H$30,MATCH(C176,Accessory_Config!$B$6:$B$30,0)),E176)))</x:f>
      </x:c>
      <x:c r="Q176" s="17"/>
    </x:row>
    <x:row r="177">
      <x:c r="A177" s="30"/>
      <x:c r="B177" s="17"/>
      <x:c r="C177" s="17"/>
      <x:c r="D177" s="17"/>
      <x:c r="E177" s="31"/>
      <x:c r="F177" s="17"/>
      <x:c r="G177" s="17"/>
      <x:c r="H177" s="17"/>
      <x:c r="I177" s="17"/>
      <x:c r="J177" s="17"/>
      <x:c r="K177" s="17"/>
      <x:c r="L177" s="17"/>
      <x:c r="M177" s="17"/>
      <x:c r="N177" s="16" t="str">
        <x:f>IF(A177="","",COUNT(F177,H177,J177,L177)&gt;=INDEX(Accessory_Config!$D$6:$D$30,MATCH(C177,Accessory_Config!$B$6:$B$30,0)))</x:f>
      </x:c>
      <x:c r="O177" s="16" t="str">
        <x:f>IF(A177="","",AND(N177,MIN(F177,H177,J177,IF(INDEX(Accessory_Config!$D$6:$D$30,MATCH(C177,Accessory_Config!$B$6:$B$30,0))=4,L177,999))&gt;=INDEX(Accessory_Config!$F$6:$F$30,MATCH(C177,Accessory_Config!$B$6:$B$30,0)),MIN(G177,I177,K177,IF(INDEX(Accessory_Config!$D$6:$D$30,MATCH(C177,Accessory_Config!$B$6:$B$30,0))=4,M177,999))&gt;=2))</x:f>
      </x:c>
      <x:c r="P177" s="19" t="str">
        <x:f>IF(A177="","",IF(E177="","",IF(O177,E177+INDEX(Accessory_Config!$H$6:$H$30,MATCH(C177,Accessory_Config!$B$6:$B$30,0)),E177)))</x:f>
      </x:c>
      <x:c r="Q177" s="17"/>
    </x:row>
    <x:row r="178">
      <x:c r="A178" s="30"/>
      <x:c r="B178" s="17"/>
      <x:c r="C178" s="17"/>
      <x:c r="D178" s="17"/>
      <x:c r="E178" s="31"/>
      <x:c r="F178" s="17"/>
      <x:c r="G178" s="17"/>
      <x:c r="H178" s="17"/>
      <x:c r="I178" s="17"/>
      <x:c r="J178" s="17"/>
      <x:c r="K178" s="17"/>
      <x:c r="L178" s="17"/>
      <x:c r="M178" s="17"/>
      <x:c r="N178" s="16" t="str">
        <x:f>IF(A178="","",COUNT(F178,H178,J178,L178)&gt;=INDEX(Accessory_Config!$D$6:$D$30,MATCH(C178,Accessory_Config!$B$6:$B$30,0)))</x:f>
      </x:c>
      <x:c r="O178" s="16" t="str">
        <x:f>IF(A178="","",AND(N178,MIN(F178,H178,J178,IF(INDEX(Accessory_Config!$D$6:$D$30,MATCH(C178,Accessory_Config!$B$6:$B$30,0))=4,L178,999))&gt;=INDEX(Accessory_Config!$F$6:$F$30,MATCH(C178,Accessory_Config!$B$6:$B$30,0)),MIN(G178,I178,K178,IF(INDEX(Accessory_Config!$D$6:$D$30,MATCH(C178,Accessory_Config!$B$6:$B$30,0))=4,M178,999))&gt;=2))</x:f>
      </x:c>
      <x:c r="P178" s="19" t="str">
        <x:f>IF(A178="","",IF(E178="","",IF(O178,E178+INDEX(Accessory_Config!$H$6:$H$30,MATCH(C178,Accessory_Config!$B$6:$B$30,0)),E178)))</x:f>
      </x:c>
      <x:c r="Q178" s="17"/>
    </x:row>
    <x:row r="179">
      <x:c r="A179" s="30"/>
      <x:c r="B179" s="17"/>
      <x:c r="C179" s="17"/>
      <x:c r="D179" s="17"/>
      <x:c r="E179" s="31"/>
      <x:c r="F179" s="17"/>
      <x:c r="G179" s="17"/>
      <x:c r="H179" s="17"/>
      <x:c r="I179" s="17"/>
      <x:c r="J179" s="17"/>
      <x:c r="K179" s="17"/>
      <x:c r="L179" s="17"/>
      <x:c r="M179" s="17"/>
      <x:c r="N179" s="16" t="str">
        <x:f>IF(A179="","",COUNT(F179,H179,J179,L179)&gt;=INDEX(Accessory_Config!$D$6:$D$30,MATCH(C179,Accessory_Config!$B$6:$B$30,0)))</x:f>
      </x:c>
      <x:c r="O179" s="16" t="str">
        <x:f>IF(A179="","",AND(N179,MIN(F179,H179,J179,IF(INDEX(Accessory_Config!$D$6:$D$30,MATCH(C179,Accessory_Config!$B$6:$B$30,0))=4,L179,999))&gt;=INDEX(Accessory_Config!$F$6:$F$30,MATCH(C179,Accessory_Config!$B$6:$B$30,0)),MIN(G179,I179,K179,IF(INDEX(Accessory_Config!$D$6:$D$30,MATCH(C179,Accessory_Config!$B$6:$B$30,0))=4,M179,999))&gt;=2))</x:f>
      </x:c>
      <x:c r="P179" s="19" t="str">
        <x:f>IF(A179="","",IF(E179="","",IF(O179,E179+INDEX(Accessory_Config!$H$6:$H$30,MATCH(C179,Accessory_Config!$B$6:$B$30,0)),E179)))</x:f>
      </x:c>
      <x:c r="Q179" s="17"/>
    </x:row>
    <x:row r="180">
      <x:c r="A180" s="30"/>
      <x:c r="B180" s="17"/>
      <x:c r="C180" s="17"/>
      <x:c r="D180" s="17"/>
      <x:c r="E180" s="31"/>
      <x:c r="F180" s="17"/>
      <x:c r="G180" s="17"/>
      <x:c r="H180" s="17"/>
      <x:c r="I180" s="17"/>
      <x:c r="J180" s="17"/>
      <x:c r="K180" s="17"/>
      <x:c r="L180" s="17"/>
      <x:c r="M180" s="17"/>
      <x:c r="N180" s="16" t="str">
        <x:f>IF(A180="","",COUNT(F180,H180,J180,L180)&gt;=INDEX(Accessory_Config!$D$6:$D$30,MATCH(C180,Accessory_Config!$B$6:$B$30,0)))</x:f>
      </x:c>
      <x:c r="O180" s="16" t="str">
        <x:f>IF(A180="","",AND(N180,MIN(F180,H180,J180,IF(INDEX(Accessory_Config!$D$6:$D$30,MATCH(C180,Accessory_Config!$B$6:$B$30,0))=4,L180,999))&gt;=INDEX(Accessory_Config!$F$6:$F$30,MATCH(C180,Accessory_Config!$B$6:$B$30,0)),MIN(G180,I180,K180,IF(INDEX(Accessory_Config!$D$6:$D$30,MATCH(C180,Accessory_Config!$B$6:$B$30,0))=4,M180,999))&gt;=2))</x:f>
      </x:c>
      <x:c r="P180" s="19" t="str">
        <x:f>IF(A180="","",IF(E180="","",IF(O180,E180+INDEX(Accessory_Config!$H$6:$H$30,MATCH(C180,Accessory_Config!$B$6:$B$30,0)),E180)))</x:f>
      </x:c>
      <x:c r="Q180" s="17"/>
    </x:row>
    <x:row r="181">
      <x:c r="A181" s="30"/>
      <x:c r="B181" s="17"/>
      <x:c r="C181" s="17"/>
      <x:c r="D181" s="17"/>
      <x:c r="E181" s="31"/>
      <x:c r="F181" s="17"/>
      <x:c r="G181" s="17"/>
      <x:c r="H181" s="17"/>
      <x:c r="I181" s="17"/>
      <x:c r="J181" s="17"/>
      <x:c r="K181" s="17"/>
      <x:c r="L181" s="17"/>
      <x:c r="M181" s="17"/>
      <x:c r="N181" s="16" t="str">
        <x:f>IF(A181="","",COUNT(F181,H181,J181,L181)&gt;=INDEX(Accessory_Config!$D$6:$D$30,MATCH(C181,Accessory_Config!$B$6:$B$30,0)))</x:f>
      </x:c>
      <x:c r="O181" s="16" t="str">
        <x:f>IF(A181="","",AND(N181,MIN(F181,H181,J181,IF(INDEX(Accessory_Config!$D$6:$D$30,MATCH(C181,Accessory_Config!$B$6:$B$30,0))=4,L181,999))&gt;=INDEX(Accessory_Config!$F$6:$F$30,MATCH(C181,Accessory_Config!$B$6:$B$30,0)),MIN(G181,I181,K181,IF(INDEX(Accessory_Config!$D$6:$D$30,MATCH(C181,Accessory_Config!$B$6:$B$30,0))=4,M181,999))&gt;=2))</x:f>
      </x:c>
      <x:c r="P181" s="19" t="str">
        <x:f>IF(A181="","",IF(E181="","",IF(O181,E181+INDEX(Accessory_Config!$H$6:$H$30,MATCH(C181,Accessory_Config!$B$6:$B$30,0)),E181)))</x:f>
      </x:c>
      <x:c r="Q181" s="17"/>
    </x:row>
    <x:row r="182">
      <x:c r="A182" s="30"/>
      <x:c r="B182" s="17"/>
      <x:c r="C182" s="17"/>
      <x:c r="D182" s="17"/>
      <x:c r="E182" s="31"/>
      <x:c r="F182" s="17"/>
      <x:c r="G182" s="17"/>
      <x:c r="H182" s="17"/>
      <x:c r="I182" s="17"/>
      <x:c r="J182" s="17"/>
      <x:c r="K182" s="17"/>
      <x:c r="L182" s="17"/>
      <x:c r="M182" s="17"/>
      <x:c r="N182" s="16" t="str">
        <x:f>IF(A182="","",COUNT(F182,H182,J182,L182)&gt;=INDEX(Accessory_Config!$D$6:$D$30,MATCH(C182,Accessory_Config!$B$6:$B$30,0)))</x:f>
      </x:c>
      <x:c r="O182" s="16" t="str">
        <x:f>IF(A182="","",AND(N182,MIN(F182,H182,J182,IF(INDEX(Accessory_Config!$D$6:$D$30,MATCH(C182,Accessory_Config!$B$6:$B$30,0))=4,L182,999))&gt;=INDEX(Accessory_Config!$F$6:$F$30,MATCH(C182,Accessory_Config!$B$6:$B$30,0)),MIN(G182,I182,K182,IF(INDEX(Accessory_Config!$D$6:$D$30,MATCH(C182,Accessory_Config!$B$6:$B$30,0))=4,M182,999))&gt;=2))</x:f>
      </x:c>
      <x:c r="P182" s="19" t="str">
        <x:f>IF(A182="","",IF(E182="","",IF(O182,E182+INDEX(Accessory_Config!$H$6:$H$30,MATCH(C182,Accessory_Config!$B$6:$B$30,0)),E182)))</x:f>
      </x:c>
      <x:c r="Q182" s="17"/>
    </x:row>
    <x:row r="183">
      <x:c r="A183" s="30"/>
      <x:c r="B183" s="17"/>
      <x:c r="C183" s="17"/>
      <x:c r="D183" s="17"/>
      <x:c r="E183" s="31"/>
      <x:c r="F183" s="17"/>
      <x:c r="G183" s="17"/>
      <x:c r="H183" s="17"/>
      <x:c r="I183" s="17"/>
      <x:c r="J183" s="17"/>
      <x:c r="K183" s="17"/>
      <x:c r="L183" s="17"/>
      <x:c r="M183" s="17"/>
      <x:c r="N183" s="16" t="str">
        <x:f>IF(A183="","",COUNT(F183,H183,J183,L183)&gt;=INDEX(Accessory_Config!$D$6:$D$30,MATCH(C183,Accessory_Config!$B$6:$B$30,0)))</x:f>
      </x:c>
      <x:c r="O183" s="16" t="str">
        <x:f>IF(A183="","",AND(N183,MIN(F183,H183,J183,IF(INDEX(Accessory_Config!$D$6:$D$30,MATCH(C183,Accessory_Config!$B$6:$B$30,0))=4,L183,999))&gt;=INDEX(Accessory_Config!$F$6:$F$30,MATCH(C183,Accessory_Config!$B$6:$B$30,0)),MIN(G183,I183,K183,IF(INDEX(Accessory_Config!$D$6:$D$30,MATCH(C183,Accessory_Config!$B$6:$B$30,0))=4,M183,999))&gt;=2))</x:f>
      </x:c>
      <x:c r="P183" s="19" t="str">
        <x:f>IF(A183="","",IF(E183="","",IF(O183,E183+INDEX(Accessory_Config!$H$6:$H$30,MATCH(C183,Accessory_Config!$B$6:$B$30,0)),E183)))</x:f>
      </x:c>
      <x:c r="Q183" s="17"/>
    </x:row>
    <x:row r="184">
      <x:c r="A184" s="30"/>
      <x:c r="B184" s="17"/>
      <x:c r="C184" s="17"/>
      <x:c r="D184" s="17"/>
      <x:c r="E184" s="31"/>
      <x:c r="F184" s="17"/>
      <x:c r="G184" s="17"/>
      <x:c r="H184" s="17"/>
      <x:c r="I184" s="17"/>
      <x:c r="J184" s="17"/>
      <x:c r="K184" s="17"/>
      <x:c r="L184" s="17"/>
      <x:c r="M184" s="17"/>
      <x:c r="N184" s="16" t="str">
        <x:f>IF(A184="","",COUNT(F184,H184,J184,L184)&gt;=INDEX(Accessory_Config!$D$6:$D$30,MATCH(C184,Accessory_Config!$B$6:$B$30,0)))</x:f>
      </x:c>
      <x:c r="O184" s="16" t="str">
        <x:f>IF(A184="","",AND(N184,MIN(F184,H184,J184,IF(INDEX(Accessory_Config!$D$6:$D$30,MATCH(C184,Accessory_Config!$B$6:$B$30,0))=4,L184,999))&gt;=INDEX(Accessory_Config!$F$6:$F$30,MATCH(C184,Accessory_Config!$B$6:$B$30,0)),MIN(G184,I184,K184,IF(INDEX(Accessory_Config!$D$6:$D$30,MATCH(C184,Accessory_Config!$B$6:$B$30,0))=4,M184,999))&gt;=2))</x:f>
      </x:c>
      <x:c r="P184" s="19" t="str">
        <x:f>IF(A184="","",IF(E184="","",IF(O184,E184+INDEX(Accessory_Config!$H$6:$H$30,MATCH(C184,Accessory_Config!$B$6:$B$30,0)),E184)))</x:f>
      </x:c>
      <x:c r="Q184" s="17"/>
    </x:row>
    <x:row r="185">
      <x:c r="A185" s="30"/>
      <x:c r="B185" s="17"/>
      <x:c r="C185" s="17"/>
      <x:c r="D185" s="17"/>
      <x:c r="E185" s="31"/>
      <x:c r="F185" s="17"/>
      <x:c r="G185" s="17"/>
      <x:c r="H185" s="17"/>
      <x:c r="I185" s="17"/>
      <x:c r="J185" s="17"/>
      <x:c r="K185" s="17"/>
      <x:c r="L185" s="17"/>
      <x:c r="M185" s="17"/>
      <x:c r="N185" s="16" t="str">
        <x:f>IF(A185="","",COUNT(F185,H185,J185,L185)&gt;=INDEX(Accessory_Config!$D$6:$D$30,MATCH(C185,Accessory_Config!$B$6:$B$30,0)))</x:f>
      </x:c>
      <x:c r="O185" s="16" t="str">
        <x:f>IF(A185="","",AND(N185,MIN(F185,H185,J185,IF(INDEX(Accessory_Config!$D$6:$D$30,MATCH(C185,Accessory_Config!$B$6:$B$30,0))=4,L185,999))&gt;=INDEX(Accessory_Config!$F$6:$F$30,MATCH(C185,Accessory_Config!$B$6:$B$30,0)),MIN(G185,I185,K185,IF(INDEX(Accessory_Config!$D$6:$D$30,MATCH(C185,Accessory_Config!$B$6:$B$30,0))=4,M185,999))&gt;=2))</x:f>
      </x:c>
      <x:c r="P185" s="19" t="str">
        <x:f>IF(A185="","",IF(E185="","",IF(O185,E185+INDEX(Accessory_Config!$H$6:$H$30,MATCH(C185,Accessory_Config!$B$6:$B$30,0)),E185)))</x:f>
      </x:c>
      <x:c r="Q185" s="17"/>
    </x:row>
    <x:row r="186">
      <x:c r="A186" s="30"/>
      <x:c r="B186" s="17"/>
      <x:c r="C186" s="17"/>
      <x:c r="D186" s="17"/>
      <x:c r="E186" s="31"/>
      <x:c r="F186" s="17"/>
      <x:c r="G186" s="17"/>
      <x:c r="H186" s="17"/>
      <x:c r="I186" s="17"/>
      <x:c r="J186" s="17"/>
      <x:c r="K186" s="17"/>
      <x:c r="L186" s="17"/>
      <x:c r="M186" s="17"/>
      <x:c r="N186" s="16" t="str">
        <x:f>IF(A186="","",COUNT(F186,H186,J186,L186)&gt;=INDEX(Accessory_Config!$D$6:$D$30,MATCH(C186,Accessory_Config!$B$6:$B$30,0)))</x:f>
      </x:c>
      <x:c r="O186" s="16" t="str">
        <x:f>IF(A186="","",AND(N186,MIN(F186,H186,J186,IF(INDEX(Accessory_Config!$D$6:$D$30,MATCH(C186,Accessory_Config!$B$6:$B$30,0))=4,L186,999))&gt;=INDEX(Accessory_Config!$F$6:$F$30,MATCH(C186,Accessory_Config!$B$6:$B$30,0)),MIN(G186,I186,K186,IF(INDEX(Accessory_Config!$D$6:$D$30,MATCH(C186,Accessory_Config!$B$6:$B$30,0))=4,M186,999))&gt;=2))</x:f>
      </x:c>
      <x:c r="P186" s="19" t="str">
        <x:f>IF(A186="","",IF(E186="","",IF(O186,E186+INDEX(Accessory_Config!$H$6:$H$30,MATCH(C186,Accessory_Config!$B$6:$B$30,0)),E186)))</x:f>
      </x:c>
      <x:c r="Q186" s="17"/>
    </x:row>
    <x:row r="187">
      <x:c r="A187" s="30"/>
      <x:c r="B187" s="17"/>
      <x:c r="C187" s="17"/>
      <x:c r="D187" s="17"/>
      <x:c r="E187" s="31"/>
      <x:c r="F187" s="17"/>
      <x:c r="G187" s="17"/>
      <x:c r="H187" s="17"/>
      <x:c r="I187" s="17"/>
      <x:c r="J187" s="17"/>
      <x:c r="K187" s="17"/>
      <x:c r="L187" s="17"/>
      <x:c r="M187" s="17"/>
      <x:c r="N187" s="16" t="str">
        <x:f>IF(A187="","",COUNT(F187,H187,J187,L187)&gt;=INDEX(Accessory_Config!$D$6:$D$30,MATCH(C187,Accessory_Config!$B$6:$B$30,0)))</x:f>
      </x:c>
      <x:c r="O187" s="16" t="str">
        <x:f>IF(A187="","",AND(N187,MIN(F187,H187,J187,IF(INDEX(Accessory_Config!$D$6:$D$30,MATCH(C187,Accessory_Config!$B$6:$B$30,0))=4,L187,999))&gt;=INDEX(Accessory_Config!$F$6:$F$30,MATCH(C187,Accessory_Config!$B$6:$B$30,0)),MIN(G187,I187,K187,IF(INDEX(Accessory_Config!$D$6:$D$30,MATCH(C187,Accessory_Config!$B$6:$B$30,0))=4,M187,999))&gt;=2))</x:f>
      </x:c>
      <x:c r="P187" s="19" t="str">
        <x:f>IF(A187="","",IF(E187="","",IF(O187,E187+INDEX(Accessory_Config!$H$6:$H$30,MATCH(C187,Accessory_Config!$B$6:$B$30,0)),E187)))</x:f>
      </x:c>
      <x:c r="Q187" s="17"/>
    </x:row>
    <x:row r="188">
      <x:c r="A188" s="30"/>
      <x:c r="B188" s="17"/>
      <x:c r="C188" s="17"/>
      <x:c r="D188" s="17"/>
      <x:c r="E188" s="31"/>
      <x:c r="F188" s="17"/>
      <x:c r="G188" s="17"/>
      <x:c r="H188" s="17"/>
      <x:c r="I188" s="17"/>
      <x:c r="J188" s="17"/>
      <x:c r="K188" s="17"/>
      <x:c r="L188" s="17"/>
      <x:c r="M188" s="17"/>
      <x:c r="N188" s="16" t="str">
        <x:f>IF(A188="","",COUNT(F188,H188,J188,L188)&gt;=INDEX(Accessory_Config!$D$6:$D$30,MATCH(C188,Accessory_Config!$B$6:$B$30,0)))</x:f>
      </x:c>
      <x:c r="O188" s="16" t="str">
        <x:f>IF(A188="","",AND(N188,MIN(F188,H188,J188,IF(INDEX(Accessory_Config!$D$6:$D$30,MATCH(C188,Accessory_Config!$B$6:$B$30,0))=4,L188,999))&gt;=INDEX(Accessory_Config!$F$6:$F$30,MATCH(C188,Accessory_Config!$B$6:$B$30,0)),MIN(G188,I188,K188,IF(INDEX(Accessory_Config!$D$6:$D$30,MATCH(C188,Accessory_Config!$B$6:$B$30,0))=4,M188,999))&gt;=2))</x:f>
      </x:c>
      <x:c r="P188" s="19" t="str">
        <x:f>IF(A188="","",IF(E188="","",IF(O188,E188+INDEX(Accessory_Config!$H$6:$H$30,MATCH(C188,Accessory_Config!$B$6:$B$30,0)),E188)))</x:f>
      </x:c>
      <x:c r="Q188" s="17"/>
    </x:row>
    <x:row r="189">
      <x:c r="A189" s="30"/>
      <x:c r="B189" s="17"/>
      <x:c r="C189" s="17"/>
      <x:c r="D189" s="17"/>
      <x:c r="E189" s="31"/>
      <x:c r="F189" s="17"/>
      <x:c r="G189" s="17"/>
      <x:c r="H189" s="17"/>
      <x:c r="I189" s="17"/>
      <x:c r="J189" s="17"/>
      <x:c r="K189" s="17"/>
      <x:c r="L189" s="17"/>
      <x:c r="M189" s="17"/>
      <x:c r="N189" s="16" t="str">
        <x:f>IF(A189="","",COUNT(F189,H189,J189,L189)&gt;=INDEX(Accessory_Config!$D$6:$D$30,MATCH(C189,Accessory_Config!$B$6:$B$30,0)))</x:f>
      </x:c>
      <x:c r="O189" s="16" t="str">
        <x:f>IF(A189="","",AND(N189,MIN(F189,H189,J189,IF(INDEX(Accessory_Config!$D$6:$D$30,MATCH(C189,Accessory_Config!$B$6:$B$30,0))=4,L189,999))&gt;=INDEX(Accessory_Config!$F$6:$F$30,MATCH(C189,Accessory_Config!$B$6:$B$30,0)),MIN(G189,I189,K189,IF(INDEX(Accessory_Config!$D$6:$D$30,MATCH(C189,Accessory_Config!$B$6:$B$30,0))=4,M189,999))&gt;=2))</x:f>
      </x:c>
      <x:c r="P189" s="19" t="str">
        <x:f>IF(A189="","",IF(E189="","",IF(O189,E189+INDEX(Accessory_Config!$H$6:$H$30,MATCH(C189,Accessory_Config!$B$6:$B$30,0)),E189)))</x:f>
      </x:c>
      <x:c r="Q189" s="17"/>
    </x:row>
    <x:row r="190">
      <x:c r="A190" s="30"/>
      <x:c r="B190" s="17"/>
      <x:c r="C190" s="17"/>
      <x:c r="D190" s="17"/>
      <x:c r="E190" s="31"/>
      <x:c r="F190" s="17"/>
      <x:c r="G190" s="17"/>
      <x:c r="H190" s="17"/>
      <x:c r="I190" s="17"/>
      <x:c r="J190" s="17"/>
      <x:c r="K190" s="17"/>
      <x:c r="L190" s="17"/>
      <x:c r="M190" s="17"/>
      <x:c r="N190" s="16" t="str">
        <x:f>IF(A190="","",COUNT(F190,H190,J190,L190)&gt;=INDEX(Accessory_Config!$D$6:$D$30,MATCH(C190,Accessory_Config!$B$6:$B$30,0)))</x:f>
      </x:c>
      <x:c r="O190" s="16" t="str">
        <x:f>IF(A190="","",AND(N190,MIN(F190,H190,J190,IF(INDEX(Accessory_Config!$D$6:$D$30,MATCH(C190,Accessory_Config!$B$6:$B$30,0))=4,L190,999))&gt;=INDEX(Accessory_Config!$F$6:$F$30,MATCH(C190,Accessory_Config!$B$6:$B$30,0)),MIN(G190,I190,K190,IF(INDEX(Accessory_Config!$D$6:$D$30,MATCH(C190,Accessory_Config!$B$6:$B$30,0))=4,M190,999))&gt;=2))</x:f>
      </x:c>
      <x:c r="P190" s="19" t="str">
        <x:f>IF(A190="","",IF(E190="","",IF(O190,E190+INDEX(Accessory_Config!$H$6:$H$30,MATCH(C190,Accessory_Config!$B$6:$B$30,0)),E190)))</x:f>
      </x:c>
      <x:c r="Q190" s="17"/>
    </x:row>
    <x:row r="191">
      <x:c r="A191" s="30"/>
      <x:c r="B191" s="17"/>
      <x:c r="C191" s="17"/>
      <x:c r="D191" s="17"/>
      <x:c r="E191" s="31"/>
      <x:c r="F191" s="17"/>
      <x:c r="G191" s="17"/>
      <x:c r="H191" s="17"/>
      <x:c r="I191" s="17"/>
      <x:c r="J191" s="17"/>
      <x:c r="K191" s="17"/>
      <x:c r="L191" s="17"/>
      <x:c r="M191" s="17"/>
      <x:c r="N191" s="16" t="str">
        <x:f>IF(A191="","",COUNT(F191,H191,J191,L191)&gt;=INDEX(Accessory_Config!$D$6:$D$30,MATCH(C191,Accessory_Config!$B$6:$B$30,0)))</x:f>
      </x:c>
      <x:c r="O191" s="16" t="str">
        <x:f>IF(A191="","",AND(N191,MIN(F191,H191,J191,IF(INDEX(Accessory_Config!$D$6:$D$30,MATCH(C191,Accessory_Config!$B$6:$B$30,0))=4,L191,999))&gt;=INDEX(Accessory_Config!$F$6:$F$30,MATCH(C191,Accessory_Config!$B$6:$B$30,0)),MIN(G191,I191,K191,IF(INDEX(Accessory_Config!$D$6:$D$30,MATCH(C191,Accessory_Config!$B$6:$B$30,0))=4,M191,999))&gt;=2))</x:f>
      </x:c>
      <x:c r="P191" s="19" t="str">
        <x:f>IF(A191="","",IF(E191="","",IF(O191,E191+INDEX(Accessory_Config!$H$6:$H$30,MATCH(C191,Accessory_Config!$B$6:$B$30,0)),E191)))</x:f>
      </x:c>
      <x:c r="Q191" s="17"/>
    </x:row>
    <x:row r="192">
      <x:c r="A192" s="30"/>
      <x:c r="B192" s="17"/>
      <x:c r="C192" s="17"/>
      <x:c r="D192" s="17"/>
      <x:c r="E192" s="31"/>
      <x:c r="F192" s="17"/>
      <x:c r="G192" s="17"/>
      <x:c r="H192" s="17"/>
      <x:c r="I192" s="17"/>
      <x:c r="J192" s="17"/>
      <x:c r="K192" s="17"/>
      <x:c r="L192" s="17"/>
      <x:c r="M192" s="17"/>
      <x:c r="N192" s="16" t="str">
        <x:f>IF(A192="","",COUNT(F192,H192,J192,L192)&gt;=INDEX(Accessory_Config!$D$6:$D$30,MATCH(C192,Accessory_Config!$B$6:$B$30,0)))</x:f>
      </x:c>
      <x:c r="O192" s="16" t="str">
        <x:f>IF(A192="","",AND(N192,MIN(F192,H192,J192,IF(INDEX(Accessory_Config!$D$6:$D$30,MATCH(C192,Accessory_Config!$B$6:$B$30,0))=4,L192,999))&gt;=INDEX(Accessory_Config!$F$6:$F$30,MATCH(C192,Accessory_Config!$B$6:$B$30,0)),MIN(G192,I192,K192,IF(INDEX(Accessory_Config!$D$6:$D$30,MATCH(C192,Accessory_Config!$B$6:$B$30,0))=4,M192,999))&gt;=2))</x:f>
      </x:c>
      <x:c r="P192" s="19" t="str">
        <x:f>IF(A192="","",IF(E192="","",IF(O192,E192+INDEX(Accessory_Config!$H$6:$H$30,MATCH(C192,Accessory_Config!$B$6:$B$30,0)),E192)))</x:f>
      </x:c>
      <x:c r="Q192" s="17"/>
    </x:row>
    <x:row r="193">
      <x:c r="A193" s="30"/>
      <x:c r="B193" s="17"/>
      <x:c r="C193" s="17"/>
      <x:c r="D193" s="17"/>
      <x:c r="E193" s="31"/>
      <x:c r="F193" s="17"/>
      <x:c r="G193" s="17"/>
      <x:c r="H193" s="17"/>
      <x:c r="I193" s="17"/>
      <x:c r="J193" s="17"/>
      <x:c r="K193" s="17"/>
      <x:c r="L193" s="17"/>
      <x:c r="M193" s="17"/>
      <x:c r="N193" s="16" t="str">
        <x:f>IF(A193="","",COUNT(F193,H193,J193,L193)&gt;=INDEX(Accessory_Config!$D$6:$D$30,MATCH(C193,Accessory_Config!$B$6:$B$30,0)))</x:f>
      </x:c>
      <x:c r="O193" s="16" t="str">
        <x:f>IF(A193="","",AND(N193,MIN(F193,H193,J193,IF(INDEX(Accessory_Config!$D$6:$D$30,MATCH(C193,Accessory_Config!$B$6:$B$30,0))=4,L193,999))&gt;=INDEX(Accessory_Config!$F$6:$F$30,MATCH(C193,Accessory_Config!$B$6:$B$30,0)),MIN(G193,I193,K193,IF(INDEX(Accessory_Config!$D$6:$D$30,MATCH(C193,Accessory_Config!$B$6:$B$30,0))=4,M193,999))&gt;=2))</x:f>
      </x:c>
      <x:c r="P193" s="19" t="str">
        <x:f>IF(A193="","",IF(E193="","",IF(O193,E193+INDEX(Accessory_Config!$H$6:$H$30,MATCH(C193,Accessory_Config!$B$6:$B$30,0)),E193)))</x:f>
      </x:c>
      <x:c r="Q193" s="17"/>
    </x:row>
    <x:row r="194">
      <x:c r="A194" s="30"/>
      <x:c r="B194" s="17"/>
      <x:c r="C194" s="17"/>
      <x:c r="D194" s="17"/>
      <x:c r="E194" s="31"/>
      <x:c r="F194" s="17"/>
      <x:c r="G194" s="17"/>
      <x:c r="H194" s="17"/>
      <x:c r="I194" s="17"/>
      <x:c r="J194" s="17"/>
      <x:c r="K194" s="17"/>
      <x:c r="L194" s="17"/>
      <x:c r="M194" s="17"/>
      <x:c r="N194" s="16" t="str">
        <x:f>IF(A194="","",COUNT(F194,H194,J194,L194)&gt;=INDEX(Accessory_Config!$D$6:$D$30,MATCH(C194,Accessory_Config!$B$6:$B$30,0)))</x:f>
      </x:c>
      <x:c r="O194" s="16" t="str">
        <x:f>IF(A194="","",AND(N194,MIN(F194,H194,J194,IF(INDEX(Accessory_Config!$D$6:$D$30,MATCH(C194,Accessory_Config!$B$6:$B$30,0))=4,L194,999))&gt;=INDEX(Accessory_Config!$F$6:$F$30,MATCH(C194,Accessory_Config!$B$6:$B$30,0)),MIN(G194,I194,K194,IF(INDEX(Accessory_Config!$D$6:$D$30,MATCH(C194,Accessory_Config!$B$6:$B$30,0))=4,M194,999))&gt;=2))</x:f>
      </x:c>
      <x:c r="P194" s="19" t="str">
        <x:f>IF(A194="","",IF(E194="","",IF(O194,E194+INDEX(Accessory_Config!$H$6:$H$30,MATCH(C194,Accessory_Config!$B$6:$B$30,0)),E194)))</x:f>
      </x:c>
      <x:c r="Q194" s="17"/>
    </x:row>
    <x:row r="195">
      <x:c r="A195" s="30"/>
      <x:c r="B195" s="17"/>
      <x:c r="C195" s="17"/>
      <x:c r="D195" s="17"/>
      <x:c r="E195" s="31"/>
      <x:c r="F195" s="17"/>
      <x:c r="G195" s="17"/>
      <x:c r="H195" s="17"/>
      <x:c r="I195" s="17"/>
      <x:c r="J195" s="17"/>
      <x:c r="K195" s="17"/>
      <x:c r="L195" s="17"/>
      <x:c r="M195" s="17"/>
      <x:c r="N195" s="16" t="str">
        <x:f>IF(A195="","",COUNT(F195,H195,J195,L195)&gt;=INDEX(Accessory_Config!$D$6:$D$30,MATCH(C195,Accessory_Config!$B$6:$B$30,0)))</x:f>
      </x:c>
      <x:c r="O195" s="16" t="str">
        <x:f>IF(A195="","",AND(N195,MIN(F195,H195,J195,IF(INDEX(Accessory_Config!$D$6:$D$30,MATCH(C195,Accessory_Config!$B$6:$B$30,0))=4,L195,999))&gt;=INDEX(Accessory_Config!$F$6:$F$30,MATCH(C195,Accessory_Config!$B$6:$B$30,0)),MIN(G195,I195,K195,IF(INDEX(Accessory_Config!$D$6:$D$30,MATCH(C195,Accessory_Config!$B$6:$B$30,0))=4,M195,999))&gt;=2))</x:f>
      </x:c>
      <x:c r="P195" s="19" t="str">
        <x:f>IF(A195="","",IF(E195="","",IF(O195,E195+INDEX(Accessory_Config!$H$6:$H$30,MATCH(C195,Accessory_Config!$B$6:$B$30,0)),E195)))</x:f>
      </x:c>
      <x:c r="Q195" s="17"/>
    </x:row>
    <x:row r="196">
      <x:c r="A196" s="30"/>
      <x:c r="B196" s="17"/>
      <x:c r="C196" s="17"/>
      <x:c r="D196" s="17"/>
      <x:c r="E196" s="31"/>
      <x:c r="F196" s="17"/>
      <x:c r="G196" s="17"/>
      <x:c r="H196" s="17"/>
      <x:c r="I196" s="17"/>
      <x:c r="J196" s="17"/>
      <x:c r="K196" s="17"/>
      <x:c r="L196" s="17"/>
      <x:c r="M196" s="17"/>
      <x:c r="N196" s="16" t="str">
        <x:f>IF(A196="","",COUNT(F196,H196,J196,L196)&gt;=INDEX(Accessory_Config!$D$6:$D$30,MATCH(C196,Accessory_Config!$B$6:$B$30,0)))</x:f>
      </x:c>
      <x:c r="O196" s="16" t="str">
        <x:f>IF(A196="","",AND(N196,MIN(F196,H196,J196,IF(INDEX(Accessory_Config!$D$6:$D$30,MATCH(C196,Accessory_Config!$B$6:$B$30,0))=4,L196,999))&gt;=INDEX(Accessory_Config!$F$6:$F$30,MATCH(C196,Accessory_Config!$B$6:$B$30,0)),MIN(G196,I196,K196,IF(INDEX(Accessory_Config!$D$6:$D$30,MATCH(C196,Accessory_Config!$B$6:$B$30,0))=4,M196,999))&gt;=2))</x:f>
      </x:c>
      <x:c r="P196" s="19" t="str">
        <x:f>IF(A196="","",IF(E196="","",IF(O196,E196+INDEX(Accessory_Config!$H$6:$H$30,MATCH(C196,Accessory_Config!$B$6:$B$30,0)),E196)))</x:f>
      </x:c>
      <x:c r="Q196" s="17"/>
    </x:row>
    <x:row r="197">
      <x:c r="A197" s="30"/>
      <x:c r="B197" s="17"/>
      <x:c r="C197" s="17"/>
      <x:c r="D197" s="17"/>
      <x:c r="E197" s="31"/>
      <x:c r="F197" s="17"/>
      <x:c r="G197" s="17"/>
      <x:c r="H197" s="17"/>
      <x:c r="I197" s="17"/>
      <x:c r="J197" s="17"/>
      <x:c r="K197" s="17"/>
      <x:c r="L197" s="17"/>
      <x:c r="M197" s="17"/>
      <x:c r="N197" s="16" t="str">
        <x:f>IF(A197="","",COUNT(F197,H197,J197,L197)&gt;=INDEX(Accessory_Config!$D$6:$D$30,MATCH(C197,Accessory_Config!$B$6:$B$30,0)))</x:f>
      </x:c>
      <x:c r="O197" s="16" t="str">
        <x:f>IF(A197="","",AND(N197,MIN(F197,H197,J197,IF(INDEX(Accessory_Config!$D$6:$D$30,MATCH(C197,Accessory_Config!$B$6:$B$30,0))=4,L197,999))&gt;=INDEX(Accessory_Config!$F$6:$F$30,MATCH(C197,Accessory_Config!$B$6:$B$30,0)),MIN(G197,I197,K197,IF(INDEX(Accessory_Config!$D$6:$D$30,MATCH(C197,Accessory_Config!$B$6:$B$30,0))=4,M197,999))&gt;=2))</x:f>
      </x:c>
      <x:c r="P197" s="19" t="str">
        <x:f>IF(A197="","",IF(E197="","",IF(O197,E197+INDEX(Accessory_Config!$H$6:$H$30,MATCH(C197,Accessory_Config!$B$6:$B$30,0)),E197)))</x:f>
      </x:c>
      <x:c r="Q197" s="17"/>
    </x:row>
    <x:row r="198">
      <x:c r="A198" s="30"/>
      <x:c r="B198" s="17"/>
      <x:c r="C198" s="17"/>
      <x:c r="D198" s="17"/>
      <x:c r="E198" s="31"/>
      <x:c r="F198" s="17"/>
      <x:c r="G198" s="17"/>
      <x:c r="H198" s="17"/>
      <x:c r="I198" s="17"/>
      <x:c r="J198" s="17"/>
      <x:c r="K198" s="17"/>
      <x:c r="L198" s="17"/>
      <x:c r="M198" s="17"/>
      <x:c r="N198" s="16" t="str">
        <x:f>IF(A198="","",COUNT(F198,H198,J198,L198)&gt;=INDEX(Accessory_Config!$D$6:$D$30,MATCH(C198,Accessory_Config!$B$6:$B$30,0)))</x:f>
      </x:c>
      <x:c r="O198" s="16" t="str">
        <x:f>IF(A198="","",AND(N198,MIN(F198,H198,J198,IF(INDEX(Accessory_Config!$D$6:$D$30,MATCH(C198,Accessory_Config!$B$6:$B$30,0))=4,L198,999))&gt;=INDEX(Accessory_Config!$F$6:$F$30,MATCH(C198,Accessory_Config!$B$6:$B$30,0)),MIN(G198,I198,K198,IF(INDEX(Accessory_Config!$D$6:$D$30,MATCH(C198,Accessory_Config!$B$6:$B$30,0))=4,M198,999))&gt;=2))</x:f>
      </x:c>
      <x:c r="P198" s="19" t="str">
        <x:f>IF(A198="","",IF(E198="","",IF(O198,E198+INDEX(Accessory_Config!$H$6:$H$30,MATCH(C198,Accessory_Config!$B$6:$B$30,0)),E198)))</x:f>
      </x:c>
      <x:c r="Q198" s="17"/>
    </x:row>
    <x:row r="199">
      <x:c r="A199" s="30"/>
      <x:c r="B199" s="17"/>
      <x:c r="C199" s="17"/>
      <x:c r="D199" s="17"/>
      <x:c r="E199" s="31"/>
      <x:c r="F199" s="17"/>
      <x:c r="G199" s="17"/>
      <x:c r="H199" s="17"/>
      <x:c r="I199" s="17"/>
      <x:c r="J199" s="17"/>
      <x:c r="K199" s="17"/>
      <x:c r="L199" s="17"/>
      <x:c r="M199" s="17"/>
      <x:c r="N199" s="16" t="str">
        <x:f>IF(A199="","",COUNT(F199,H199,J199,L199)&gt;=INDEX(Accessory_Config!$D$6:$D$30,MATCH(C199,Accessory_Config!$B$6:$B$30,0)))</x:f>
      </x:c>
      <x:c r="O199" s="16" t="str">
        <x:f>IF(A199="","",AND(N199,MIN(F199,H199,J199,IF(INDEX(Accessory_Config!$D$6:$D$30,MATCH(C199,Accessory_Config!$B$6:$B$30,0))=4,L199,999))&gt;=INDEX(Accessory_Config!$F$6:$F$30,MATCH(C199,Accessory_Config!$B$6:$B$30,0)),MIN(G199,I199,K199,IF(INDEX(Accessory_Config!$D$6:$D$30,MATCH(C199,Accessory_Config!$B$6:$B$30,0))=4,M199,999))&gt;=2))</x:f>
      </x:c>
      <x:c r="P199" s="19" t="str">
        <x:f>IF(A199="","",IF(E199="","",IF(O199,E199+INDEX(Accessory_Config!$H$6:$H$30,MATCH(C199,Accessory_Config!$B$6:$B$30,0)),E199)))</x:f>
      </x:c>
      <x:c r="Q199" s="17"/>
    </x:row>
    <x:row r="200">
      <x:c r="A200" s="30"/>
      <x:c r="B200" s="17"/>
      <x:c r="C200" s="17"/>
      <x:c r="D200" s="17"/>
      <x:c r="E200" s="31"/>
      <x:c r="F200" s="17"/>
      <x:c r="G200" s="17"/>
      <x:c r="H200" s="17"/>
      <x:c r="I200" s="17"/>
      <x:c r="J200" s="17"/>
      <x:c r="K200" s="17"/>
      <x:c r="L200" s="17"/>
      <x:c r="M200" s="17"/>
      <x:c r="N200" s="16" t="str">
        <x:f>IF(A200="","",COUNT(F200,H200,J200,L200)&gt;=INDEX(Accessory_Config!$D$6:$D$30,MATCH(C200,Accessory_Config!$B$6:$B$30,0)))</x:f>
      </x:c>
      <x:c r="O200" s="16" t="str">
        <x:f>IF(A200="","",AND(N200,MIN(F200,H200,J200,IF(INDEX(Accessory_Config!$D$6:$D$30,MATCH(C200,Accessory_Config!$B$6:$B$30,0))=4,L200,999))&gt;=INDEX(Accessory_Config!$F$6:$F$30,MATCH(C200,Accessory_Config!$B$6:$B$30,0)),MIN(G200,I200,K200,IF(INDEX(Accessory_Config!$D$6:$D$30,MATCH(C200,Accessory_Config!$B$6:$B$30,0))=4,M200,999))&gt;=2))</x:f>
      </x:c>
      <x:c r="P200" s="19" t="str">
        <x:f>IF(A200="","",IF(E200="","",IF(O200,E200+INDEX(Accessory_Config!$H$6:$H$30,MATCH(C200,Accessory_Config!$B$6:$B$30,0)),E200)))</x:f>
      </x:c>
      <x:c r="Q200" s="17"/>
    </x:row>
    <x:row r="201">
      <x:c r="A201" s="30"/>
      <x:c r="B201" s="17"/>
      <x:c r="C201" s="17"/>
      <x:c r="D201" s="17"/>
      <x:c r="E201" s="31"/>
      <x:c r="F201" s="17"/>
      <x:c r="G201" s="17"/>
      <x:c r="H201" s="17"/>
      <x:c r="I201" s="17"/>
      <x:c r="J201" s="17"/>
      <x:c r="K201" s="17"/>
      <x:c r="L201" s="17"/>
      <x:c r="M201" s="17"/>
      <x:c r="N201" s="16" t="str">
        <x:f>IF(A201="","",COUNT(F201,H201,J201,L201)&gt;=INDEX(Accessory_Config!$D$6:$D$30,MATCH(C201,Accessory_Config!$B$6:$B$30,0)))</x:f>
      </x:c>
      <x:c r="O201" s="16" t="str">
        <x:f>IF(A201="","",AND(N201,MIN(F201,H201,J201,IF(INDEX(Accessory_Config!$D$6:$D$30,MATCH(C201,Accessory_Config!$B$6:$B$30,0))=4,L201,999))&gt;=INDEX(Accessory_Config!$F$6:$F$30,MATCH(C201,Accessory_Config!$B$6:$B$30,0)),MIN(G201,I201,K201,IF(INDEX(Accessory_Config!$D$6:$D$30,MATCH(C201,Accessory_Config!$B$6:$B$30,0))=4,M201,999))&gt;=2))</x:f>
      </x:c>
      <x:c r="P201" s="19" t="str">
        <x:f>IF(A201="","",IF(E201="","",IF(O201,E201+INDEX(Accessory_Config!$H$6:$H$30,MATCH(C201,Accessory_Config!$B$6:$B$30,0)),E201)))</x:f>
      </x:c>
      <x:c r="Q201" s="17"/>
    </x:row>
    <x:row r="202">
      <x:c r="A202" s="30"/>
      <x:c r="B202" s="17"/>
      <x:c r="C202" s="17"/>
      <x:c r="D202" s="17"/>
      <x:c r="E202" s="31"/>
      <x:c r="F202" s="17"/>
      <x:c r="G202" s="17"/>
      <x:c r="H202" s="17"/>
      <x:c r="I202" s="17"/>
      <x:c r="J202" s="17"/>
      <x:c r="K202" s="17"/>
      <x:c r="L202" s="17"/>
      <x:c r="M202" s="17"/>
      <x:c r="N202" s="16" t="str">
        <x:f>IF(A202="","",COUNT(F202,H202,J202,L202)&gt;=INDEX(Accessory_Config!$D$6:$D$30,MATCH(C202,Accessory_Config!$B$6:$B$30,0)))</x:f>
      </x:c>
      <x:c r="O202" s="16" t="str">
        <x:f>IF(A202="","",AND(N202,MIN(F202,H202,J202,IF(INDEX(Accessory_Config!$D$6:$D$30,MATCH(C202,Accessory_Config!$B$6:$B$30,0))=4,L202,999))&gt;=INDEX(Accessory_Config!$F$6:$F$30,MATCH(C202,Accessory_Config!$B$6:$B$30,0)),MIN(G202,I202,K202,IF(INDEX(Accessory_Config!$D$6:$D$30,MATCH(C202,Accessory_Config!$B$6:$B$30,0))=4,M202,999))&gt;=2))</x:f>
      </x:c>
      <x:c r="P202" s="19" t="str">
        <x:f>IF(A202="","",IF(E202="","",IF(O202,E202+INDEX(Accessory_Config!$H$6:$H$30,MATCH(C202,Accessory_Config!$B$6:$B$30,0)),E202)))</x:f>
      </x:c>
      <x:c r="Q202" s="17"/>
    </x:row>
    <x:row r="203">
      <x:c r="A203" s="30"/>
      <x:c r="B203" s="17"/>
      <x:c r="C203" s="17"/>
      <x:c r="D203" s="17"/>
      <x:c r="E203" s="31"/>
      <x:c r="F203" s="17"/>
      <x:c r="G203" s="17"/>
      <x:c r="H203" s="17"/>
      <x:c r="I203" s="17"/>
      <x:c r="J203" s="17"/>
      <x:c r="K203" s="17"/>
      <x:c r="L203" s="17"/>
      <x:c r="M203" s="17"/>
      <x:c r="N203" s="16" t="str">
        <x:f>IF(A203="","",COUNT(F203,H203,J203,L203)&gt;=INDEX(Accessory_Config!$D$6:$D$30,MATCH(C203,Accessory_Config!$B$6:$B$30,0)))</x:f>
      </x:c>
      <x:c r="O203" s="16" t="str">
        <x:f>IF(A203="","",AND(N203,MIN(F203,H203,J203,IF(INDEX(Accessory_Config!$D$6:$D$30,MATCH(C203,Accessory_Config!$B$6:$B$30,0))=4,L203,999))&gt;=INDEX(Accessory_Config!$F$6:$F$30,MATCH(C203,Accessory_Config!$B$6:$B$30,0)),MIN(G203,I203,K203,IF(INDEX(Accessory_Config!$D$6:$D$30,MATCH(C203,Accessory_Config!$B$6:$B$30,0))=4,M203,999))&gt;=2))</x:f>
      </x:c>
      <x:c r="P203" s="19" t="str">
        <x:f>IF(A203="","",IF(E203="","",IF(O203,E203+INDEX(Accessory_Config!$H$6:$H$30,MATCH(C203,Accessory_Config!$B$6:$B$30,0)),E203)))</x:f>
      </x:c>
      <x:c r="Q203" s="17"/>
    </x:row>
    <x:row r="204">
      <x:c r="A204" s="30"/>
      <x:c r="B204" s="17"/>
      <x:c r="C204" s="17"/>
      <x:c r="D204" s="17"/>
      <x:c r="E204" s="31"/>
      <x:c r="F204" s="17"/>
      <x:c r="G204" s="17"/>
      <x:c r="H204" s="17"/>
      <x:c r="I204" s="17"/>
      <x:c r="J204" s="17"/>
      <x:c r="K204" s="17"/>
      <x:c r="L204" s="17"/>
      <x:c r="M204" s="17"/>
      <x:c r="N204" s="16" t="str">
        <x:f>IF(A204="","",COUNT(F204,H204,J204,L204)&gt;=INDEX(Accessory_Config!$D$6:$D$30,MATCH(C204,Accessory_Config!$B$6:$B$30,0)))</x:f>
      </x:c>
      <x:c r="O204" s="16" t="str">
        <x:f>IF(A204="","",AND(N204,MIN(F204,H204,J204,IF(INDEX(Accessory_Config!$D$6:$D$30,MATCH(C204,Accessory_Config!$B$6:$B$30,0))=4,L204,999))&gt;=INDEX(Accessory_Config!$F$6:$F$30,MATCH(C204,Accessory_Config!$B$6:$B$30,0)),MIN(G204,I204,K204,IF(INDEX(Accessory_Config!$D$6:$D$30,MATCH(C204,Accessory_Config!$B$6:$B$30,0))=4,M204,999))&gt;=2))</x:f>
      </x:c>
      <x:c r="P204" s="19" t="str">
        <x:f>IF(A204="","",IF(E204="","",IF(O204,E204+INDEX(Accessory_Config!$H$6:$H$30,MATCH(C204,Accessory_Config!$B$6:$B$30,0)),E204)))</x:f>
      </x:c>
      <x:c r="Q204" s="17"/>
    </x:row>
    <x:row r="205">
      <x:c r="A205" s="30"/>
      <x:c r="B205" s="17"/>
      <x:c r="C205" s="17"/>
      <x:c r="D205" s="17"/>
      <x:c r="E205" s="31"/>
      <x:c r="F205" s="17"/>
      <x:c r="G205" s="17"/>
      <x:c r="H205" s="17"/>
      <x:c r="I205" s="17"/>
      <x:c r="J205" s="17"/>
      <x:c r="K205" s="17"/>
      <x:c r="L205" s="17"/>
      <x:c r="M205" s="17"/>
      <x:c r="N205" s="16" t="str">
        <x:f>IF(A205="","",COUNT(F205,H205,J205,L205)&gt;=INDEX(Accessory_Config!$D$6:$D$30,MATCH(C205,Accessory_Config!$B$6:$B$30,0)))</x:f>
      </x:c>
      <x:c r="O205" s="16" t="str">
        <x:f>IF(A205="","",AND(N205,MIN(F205,H205,J205,IF(INDEX(Accessory_Config!$D$6:$D$30,MATCH(C205,Accessory_Config!$B$6:$B$30,0))=4,L205,999))&gt;=INDEX(Accessory_Config!$F$6:$F$30,MATCH(C205,Accessory_Config!$B$6:$B$30,0)),MIN(G205,I205,K205,IF(INDEX(Accessory_Config!$D$6:$D$30,MATCH(C205,Accessory_Config!$B$6:$B$30,0))=4,M205,999))&gt;=2))</x:f>
      </x:c>
      <x:c r="P205" s="19" t="str">
        <x:f>IF(A205="","",IF(E205="","",IF(O205,E205+INDEX(Accessory_Config!$H$6:$H$30,MATCH(C205,Accessory_Config!$B$6:$B$30,0)),E205)))</x:f>
      </x:c>
      <x:c r="Q205" s="17"/>
    </x:row>
  </x:sheetData>
  <x:mergeCells>
    <x:mergeCell ref="A1:Q1"/>
    <x:mergeCell ref="A3:Q3"/>
  </x:mergeCells>
  <x:dataValidations count="2">
    <x:dataValidation type="list" sqref="B6:B205">
      <x:formula1>"Squat,Bench,Assist,Deadlift"</x:formula1>
    </x:dataValidation>
    <x:dataValidation type="list" sqref="C6:C205">
      <x:formula1>Accessory_Config!$B$6:$B$23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390079ba2a407e"/>
  </x:tableParts>
</x:worksheet>
</file>