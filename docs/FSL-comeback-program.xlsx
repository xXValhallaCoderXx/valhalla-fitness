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up" sheetId="1" r:id="rId1"/>
    <sheet name="Cycle" sheetId="2" r:id="rId2"/>
    <sheet name="Schedule" sheetId="3" r:id="rId3"/>
    <sheet name="Log" sheetId="4" r:id="rId4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name val="Calibri"/>
    </font>
    <font>
      <b/>
      <sz val="11"/>
      <name val="Calibri"/>
    </font>
    <font>
      <b/>
      <sz val="15"/>
      <color rgb="FF1F3864"/>
      <name val="Calibri"/>
    </font>
    <font>
      <i/>
      <sz val="10"/>
      <color rgb="FF7F7F7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164" fontId="0" fillId="2" borderId="1" xfId="0" applyNumberFormat="1" applyFill="1" applyBorder="1"/>
    <xf numFmtId="9" fontId="0" fillId="2" borderId="1" xfId="0" applyNumberFormat="1" applyFill="1" applyBorder="1"/>
    <xf numFmtId="164" fontId="0" fillId="0" borderId="1" xfId="0" applyNumberFormat="1" applyBorder="1"/>
    <xf numFmtId="0" fontId="0" fillId="0" borderId="0" xfId="0"/>
    <xf numFmtId="0" fontId="3" fillId="0" borderId="0" xfId="0" applyFont="1" applyAlignment="1">
      <alignment vertical="top" wrapText="1"/>
    </xf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1" fontId="0" fillId="2" borderId="1" xfId="0" applyNumberFormat="1" applyFill="1" applyBorder="1"/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.0" customWidth="1"/>
    <col min="2" max="2" width="16.0" customWidth="1"/>
    <col min="3" max="3" width="8.0" customWidth="1"/>
    <col min="4" max="4" width="14.0" customWidth="1"/>
    <col min="5" max="5" width="12.0" customWidth="1"/>
    <col min="6" max="6" width="8.0" customWidth="1"/>
    <col min="7" max="7" width="18.0" customWidth="1"/>
  </cols>
  <sheetData>
    <row r="1">
      <c r="A1" s="1" t="inlineStr">
        <is>
          <t xml:space="preserve">5/3/1 FSL — Comeback Tracker  (40yo · shoulder-managed)</t>
        </is>
      </c>
    </row>
    <row r="2">
      <c r="A2" s="8" t="inlineStr">
        <is>
          <t xml:space="preserve">Yellow cells = edit these. Everything else auto-calculates. Units = kg. Open in Excel / LibreOffice / Google Sheets.</t>
        </is>
      </c>
    </row>
    <row r="4">
      <c r="A4" s="2" t="inlineStr">
        <is>
          <t xml:space="preserve">Lift</t>
        </is>
      </c>
      <c r="B4" s="2" t="inlineStr">
        <is>
          <t xml:space="preserve">Recent weight</t>
        </is>
      </c>
      <c r="C4" s="2" t="inlineStr">
        <is>
          <t xml:space="preserve">Reps</t>
        </is>
      </c>
      <c r="D4" s="2" t="inlineStr">
        <is>
          <t xml:space="preserve">RIR (left)</t>
        </is>
      </c>
      <c r="E4" s="2" t="inlineStr">
        <is>
          <t xml:space="preserve">Est. 1RM</t>
        </is>
      </c>
      <c r="F4" s="2" t="inlineStr">
        <is>
          <t xml:space="preserve">TM %</t>
        </is>
      </c>
      <c r="G4" s="2" t="inlineStr">
        <is>
          <t xml:space="preserve">Training Max</t>
        </is>
      </c>
    </row>
    <row r="5">
      <c r="A5" s="9" t="inlineStr">
        <is>
          <t xml:space="preserve">Deadlift</t>
        </is>
      </c>
      <c r="B5" s="4">
        <v>210</v>
      </c>
      <c r="C5" s="12">
        <v>1</v>
      </c>
      <c r="D5" s="12">
        <v>1</v>
      </c>
      <c r="E5" s="6">
        <f>B5*(1+(C5+D5)/30)</f>
      </c>
      <c r="F5" s="5">
        <v>0.85</v>
      </c>
      <c r="G5" s="6">
        <f>ROUND(E5*F5/$B$10,0)*$B$10</f>
      </c>
    </row>
    <row r="6">
      <c r="A6" s="9" t="inlineStr">
        <is>
          <t xml:space="preserve">Squat</t>
        </is>
      </c>
      <c r="B6" s="4">
        <v>170</v>
      </c>
      <c r="C6" s="12">
        <v>5</v>
      </c>
      <c r="D6" s="12">
        <v>2</v>
      </c>
      <c r="E6" s="6">
        <f>B6*(1+(C6+D6)/30)</f>
      </c>
      <c r="F6" s="5">
        <v>0.85</v>
      </c>
      <c r="G6" s="6">
        <f>ROUND(E6*F6/$B$10,0)*$B$10</f>
      </c>
    </row>
    <row r="7">
      <c r="A7" s="9" t="inlineStr">
        <is>
          <t xml:space="preserve">Bench</t>
        </is>
      </c>
      <c r="B7" s="4">
        <v>100</v>
      </c>
      <c r="C7" s="12">
        <v>5</v>
      </c>
      <c r="D7" s="12">
        <v>3</v>
      </c>
      <c r="E7" s="6">
        <f>B7*(1+(C7+D7)/30)</f>
      </c>
      <c r="F7" s="5">
        <v>0.8</v>
      </c>
      <c r="G7" s="6">
        <f>ROUND(E7*F7/$B$10,0)*$B$10</f>
      </c>
    </row>
    <row r="9">
      <c r="A9" s="3" t="inlineStr">
        <is>
          <t xml:space="preserve">Settings</t>
        </is>
      </c>
      <c r="B9" s="3" t="inlineStr">
        <is>
          <t xml:space="preserve"/>
        </is>
      </c>
    </row>
    <row r="10">
      <c r="A10" s="9" t="inlineStr">
        <is>
          <t xml:space="preserve">Round to nearest (kg)</t>
        </is>
      </c>
      <c r="B10" s="4">
        <v>2.5</v>
      </c>
    </row>
    <row r="12">
      <c r="A12" s="3" t="inlineStr">
        <is>
          <t xml:space="preserve">Notes</t>
        </is>
      </c>
      <c r="B12" s="3" t="inlineStr">
        <is>
          <t xml:space="preserve"/>
        </is>
      </c>
    </row>
    <row r="13">
      <c r="A13" s="8" t="inlineStr">
        <is>
          <t xml:space="preserve">• Deadlift pre-filled from your 210 kg tough single (1 rep, ~1 RIR) → est. 1RM ≈ 220, TM ≈ 187. Edit B5:D5 if that single felt easier/harder.</t>
        </is>
      </c>
    </row>
    <row r="14">
      <c r="A14" s="8" t="inlineStr">
        <is>
          <t xml:space="preserve">• Squat &amp; Bench rows are EXAMPLES — overwrite B6:D7 with your real recent top sets (weight × reps, and reps you had left).</t>
        </is>
      </c>
    </row>
    <row r="15">
      <c r="A15" s="8" t="inlineStr">
        <is>
          <t xml:space="preserve">• Est. 1RM = weight × (1 + (reps + RIR)/30)  [Epley w/ reps-in-reserve].</t>
        </is>
      </c>
    </row>
    <row r="16">
      <c r="A16" s="8" t="inlineStr">
        <is>
          <t xml:space="preserve">• TM % = 0.85 for squat/deadlift (standard 5/3/1). Bench = 0.80 (shoulder-conservative) — drop lower if it complains.</t>
        </is>
      </c>
    </row>
    <row r="17">
      <c r="A17" s="8" t="inlineStr">
        <is>
          <t xml:space="preserve">• Increment TMs each 4-week cycle: Deadlift +5, Squat +2.5. Bench +2.5 ONLY when fully pain-free. Stall twice → reset TM to 90% and rebuild.</t>
        </is>
      </c>
    </row>
    <row r="18">
      <c r="A18" s="8" t="inlineStr">
        <is>
          <t xml:space="preserve">• The whole point: top single only reaches ~80% of true 1RM. Fast bar speed &gt; grinding. You are rebuilding tissue tolerance, not testing.</t>
        </is>
      </c>
    </row>
  </sheetData>
</worksheet>
</file>

<file path=xl/worksheets/sheet2.xml><?xml version="1.0" encoding="utf-8"?>
<worksheet xmlns="http://schemas.openxmlformats.org/spreadsheetml/2006/main">
  <cols>
    <col min="1" max="1" width="14.0" customWidth="1"/>
    <col min="2" max="2" width="6.0" customWidth="1"/>
    <col min="3" max="3" width="8.0" customWidth="1"/>
    <col min="4" max="4" width="13.0" customWidth="1"/>
    <col min="5" max="5" width="12.0" customWidth="1"/>
    <col min="6" max="6" width="48.0" customWidth="1"/>
  </cols>
  <sheetData>
    <row r="1">
      <c r="A1" s="1" t="inlineStr">
        <is>
          <t xml:space="preserve">Cycle — 5/3/1 + FSL  (auto-calculated from the Setup tab)</t>
        </is>
      </c>
    </row>
    <row r="2">
      <c r="A2" s="8" t="inlineStr">
        <is>
          <t xml:space="preserve">Run one week per block, top-to-bottom. Week 4 = deload. '+' sets are normally AMRAP — but CAP them per the Note column.</t>
        </is>
      </c>
    </row>
    <row r="4">
      <c r="A4" s="3" t="inlineStr">
        <is>
          <t xml:space="preserve">DEADLIFT</t>
        </is>
      </c>
      <c r="B4" s="3" t="inlineStr">
        <is>
          <t xml:space="preserve">Training Max (kg):</t>
        </is>
      </c>
      <c r="C4" s="6">
        <f>'Setup'!$G$5</f>
      </c>
    </row>
    <row r="5">
      <c r="A5" s="2" t="inlineStr">
        <is>
          <t xml:space="preserve">Week</t>
        </is>
      </c>
      <c r="B5" s="2" t="inlineStr">
        <is>
          <t xml:space="preserve">Set</t>
        </is>
      </c>
      <c r="C5" s="2" t="inlineStr">
        <is>
          <t xml:space="preserve">%TM</t>
        </is>
      </c>
      <c r="D5" s="2" t="inlineStr">
        <is>
          <t xml:space="preserve">Target reps</t>
        </is>
      </c>
      <c r="E5" s="2" t="inlineStr">
        <is>
          <t xml:space="preserve">Weight (kg)</t>
        </is>
      </c>
      <c r="F5" s="2" t="inlineStr">
        <is>
          <t xml:space="preserve">Note</t>
        </is>
      </c>
    </row>
    <row r="6">
      <c r="A6" s="11" t="inlineStr">
        <is>
          <t xml:space="preserve">Wk1 (5s)</t>
        </is>
      </c>
      <c r="B6" s="11" t="inlineStr">
        <is>
          <t xml:space="preserve">1</t>
        </is>
      </c>
      <c r="C6" s="13">
        <v>0.65</v>
      </c>
      <c r="D6" s="11" t="inlineStr">
        <is>
          <t xml:space="preserve">5</t>
        </is>
      </c>
      <c r="E6" s="6">
        <f>ROUND('Setup'!$G$5*0.65/'Setup'!$B$10,0)*'Setup'!$B$10</f>
      </c>
      <c r="F6" s="10" t="inlineStr">
        <is>
          <t xml:space="preserve"/>
        </is>
      </c>
    </row>
    <row r="7">
      <c r="A7" s="10" t="inlineStr">
        <is>
          <t xml:space="preserve"/>
        </is>
      </c>
      <c r="B7" s="11" t="inlineStr">
        <is>
          <t xml:space="preserve">2</t>
        </is>
      </c>
      <c r="C7" s="13">
        <v>0.75</v>
      </c>
      <c r="D7" s="11" t="inlineStr">
        <is>
          <t xml:space="preserve">5</t>
        </is>
      </c>
      <c r="E7" s="6">
        <f>ROUND('Setup'!$G$5*0.75/'Setup'!$B$10,0)*'Setup'!$B$10</f>
      </c>
      <c r="F7" s="10" t="inlineStr">
        <is>
          <t xml:space="preserve"/>
        </is>
      </c>
    </row>
    <row r="8">
      <c r="A8" s="10" t="inlineStr">
        <is>
          <t xml:space="preserve"/>
        </is>
      </c>
      <c r="B8" s="11" t="inlineStr">
        <is>
          <t xml:space="preserve">3</t>
        </is>
      </c>
      <c r="C8" s="13">
        <v>0.85</v>
      </c>
      <c r="D8" s="11" t="inlineStr">
        <is>
          <t xml:space="preserve">5+</t>
        </is>
      </c>
      <c r="E8" s="6">
        <f>ROUND('Setup'!$G$5*0.85/'Setup'!$B$10,0)*'Setup'!$B$10</f>
      </c>
      <c r="F8" s="10" t="inlineStr">
        <is>
          <t xml:space="preserve">Top set — cap at RPE 8 (1–2 reps in reserve). No grinding, no failure.</t>
        </is>
      </c>
    </row>
    <row r="9">
      <c r="A9" s="10" t="inlineStr">
        <is>
          <t xml:space="preserve"/>
        </is>
      </c>
      <c r="B9" s="11" t="inlineStr">
        <is>
          <t xml:space="preserve">4×5</t>
        </is>
      </c>
      <c r="C9" s="13">
        <v>0.65</v>
      </c>
      <c r="D9" s="11" t="inlineStr">
        <is>
          <t xml:space="preserve">FSL</t>
        </is>
      </c>
      <c r="E9" s="6">
        <f>ROUND('Setup'!$G$5*0.65/'Setup'!$B$10,0)*'Setup'!$B$10</f>
      </c>
      <c r="F9" s="10" t="inlineStr">
        <is>
          <t xml:space="preserve">First-Set-Last back-off volume — same weight every set, crisp/explosive reps.</t>
        </is>
      </c>
    </row>
    <row r="10">
      <c r="A10" s="11" t="inlineStr">
        <is>
          <t xml:space="preserve">Wk2 (3s)</t>
        </is>
      </c>
      <c r="B10" s="11" t="inlineStr">
        <is>
          <t xml:space="preserve">1</t>
        </is>
      </c>
      <c r="C10" s="13">
        <v>0.7</v>
      </c>
      <c r="D10" s="11" t="inlineStr">
        <is>
          <t xml:space="preserve">3</t>
        </is>
      </c>
      <c r="E10" s="6">
        <f>ROUND('Setup'!$G$5*0.7/'Setup'!$B$10,0)*'Setup'!$B$10</f>
      </c>
      <c r="F10" s="10" t="inlineStr">
        <is>
          <t xml:space="preserve"/>
        </is>
      </c>
    </row>
    <row r="11">
      <c r="A11" s="10" t="inlineStr">
        <is>
          <t xml:space="preserve"/>
        </is>
      </c>
      <c r="B11" s="11" t="inlineStr">
        <is>
          <t xml:space="preserve">2</t>
        </is>
      </c>
      <c r="C11" s="13">
        <v>0.8</v>
      </c>
      <c r="D11" s="11" t="inlineStr">
        <is>
          <t xml:space="preserve">3</t>
        </is>
      </c>
      <c r="E11" s="6">
        <f>ROUND('Setup'!$G$5*0.8/'Setup'!$B$10,0)*'Setup'!$B$10</f>
      </c>
      <c r="F11" s="10" t="inlineStr">
        <is>
          <t xml:space="preserve"/>
        </is>
      </c>
    </row>
    <row r="12">
      <c r="A12" s="10" t="inlineStr">
        <is>
          <t xml:space="preserve"/>
        </is>
      </c>
      <c r="B12" s="11" t="inlineStr">
        <is>
          <t xml:space="preserve">3</t>
        </is>
      </c>
      <c r="C12" s="13">
        <v>0.9</v>
      </c>
      <c r="D12" s="11" t="inlineStr">
        <is>
          <t xml:space="preserve">3+</t>
        </is>
      </c>
      <c r="E12" s="6">
        <f>ROUND('Setup'!$G$5*0.9/'Setup'!$B$10,0)*'Setup'!$B$10</f>
      </c>
      <c r="F12" s="10" t="inlineStr">
        <is>
          <t xml:space="preserve">Top set — cap at RPE 8 (1–2 reps in reserve). No grinding, no failure.</t>
        </is>
      </c>
    </row>
    <row r="13">
      <c r="A13" s="10" t="inlineStr">
        <is>
          <t xml:space="preserve"/>
        </is>
      </c>
      <c r="B13" s="11" t="inlineStr">
        <is>
          <t xml:space="preserve">4×5</t>
        </is>
      </c>
      <c r="C13" s="13">
        <v>0.65</v>
      </c>
      <c r="D13" s="11" t="inlineStr">
        <is>
          <t xml:space="preserve">FSL</t>
        </is>
      </c>
      <c r="E13" s="6">
        <f>ROUND('Setup'!$G$5*0.65/'Setup'!$B$10,0)*'Setup'!$B$10</f>
      </c>
      <c r="F13" s="10" t="inlineStr">
        <is>
          <t xml:space="preserve">First-Set-Last back-off volume — same weight every set, crisp/explosive reps.</t>
        </is>
      </c>
    </row>
    <row r="14">
      <c r="A14" s="11" t="inlineStr">
        <is>
          <t xml:space="preserve">Wk3 (5/3/1)</t>
        </is>
      </c>
      <c r="B14" s="11" t="inlineStr">
        <is>
          <t xml:space="preserve">1</t>
        </is>
      </c>
      <c r="C14" s="13">
        <v>0.75</v>
      </c>
      <c r="D14" s="11" t="inlineStr">
        <is>
          <t xml:space="preserve">5</t>
        </is>
      </c>
      <c r="E14" s="6">
        <f>ROUND('Setup'!$G$5*0.75/'Setup'!$B$10,0)*'Setup'!$B$10</f>
      </c>
      <c r="F14" s="10" t="inlineStr">
        <is>
          <t xml:space="preserve"/>
        </is>
      </c>
    </row>
    <row r="15">
      <c r="A15" s="10" t="inlineStr">
        <is>
          <t xml:space="preserve"/>
        </is>
      </c>
      <c r="B15" s="11" t="inlineStr">
        <is>
          <t xml:space="preserve">2</t>
        </is>
      </c>
      <c r="C15" s="13">
        <v>0.85</v>
      </c>
      <c r="D15" s="11" t="inlineStr">
        <is>
          <t xml:space="preserve">3</t>
        </is>
      </c>
      <c r="E15" s="6">
        <f>ROUND('Setup'!$G$5*0.85/'Setup'!$B$10,0)*'Setup'!$B$10</f>
      </c>
      <c r="F15" s="10" t="inlineStr">
        <is>
          <t xml:space="preserve"/>
        </is>
      </c>
    </row>
    <row r="16">
      <c r="A16" s="10" t="inlineStr">
        <is>
          <t xml:space="preserve"/>
        </is>
      </c>
      <c r="B16" s="11" t="inlineStr">
        <is>
          <t xml:space="preserve">3</t>
        </is>
      </c>
      <c r="C16" s="13">
        <v>0.95</v>
      </c>
      <c r="D16" s="11" t="inlineStr">
        <is>
          <t xml:space="preserve">1+</t>
        </is>
      </c>
      <c r="E16" s="6">
        <f>ROUND('Setup'!$G$5*0.95/'Setup'!$B$10,0)*'Setup'!$B$10</f>
      </c>
      <c r="F16" s="10" t="inlineStr">
        <is>
          <t xml:space="preserve">Top set — cap at RPE 8 (1–2 reps in reserve). No grinding, no failure.</t>
        </is>
      </c>
    </row>
    <row r="17">
      <c r="A17" s="10" t="inlineStr">
        <is>
          <t xml:space="preserve"/>
        </is>
      </c>
      <c r="B17" s="11" t="inlineStr">
        <is>
          <t xml:space="preserve">4×5</t>
        </is>
      </c>
      <c r="C17" s="13">
        <v>0.65</v>
      </c>
      <c r="D17" s="11" t="inlineStr">
        <is>
          <t xml:space="preserve">FSL</t>
        </is>
      </c>
      <c r="E17" s="6">
        <f>ROUND('Setup'!$G$5*0.65/'Setup'!$B$10,0)*'Setup'!$B$10</f>
      </c>
      <c r="F17" s="10" t="inlineStr">
        <is>
          <t xml:space="preserve">First-Set-Last back-off volume — same weight every set, crisp/explosive reps.</t>
        </is>
      </c>
    </row>
    <row r="18">
      <c r="A18" s="11" t="inlineStr">
        <is>
          <t xml:space="preserve">Wk4 (deload)</t>
        </is>
      </c>
      <c r="B18" s="11" t="inlineStr">
        <is>
          <t xml:space="preserve">1</t>
        </is>
      </c>
      <c r="C18" s="13">
        <v>0.4</v>
      </c>
      <c r="D18" s="11" t="inlineStr">
        <is>
          <t xml:space="preserve">5</t>
        </is>
      </c>
      <c r="E18" s="6">
        <f>ROUND('Setup'!$G$5*0.4/'Setup'!$B$10,0)*'Setup'!$B$10</f>
      </c>
      <c r="F18" s="10" t="inlineStr">
        <is>
          <t xml:space="preserve"/>
        </is>
      </c>
    </row>
    <row r="19">
      <c r="A19" s="10" t="inlineStr">
        <is>
          <t xml:space="preserve"/>
        </is>
      </c>
      <c r="B19" s="11" t="inlineStr">
        <is>
          <t xml:space="preserve">2</t>
        </is>
      </c>
      <c r="C19" s="13">
        <v>0.5</v>
      </c>
      <c r="D19" s="11" t="inlineStr">
        <is>
          <t xml:space="preserve">5</t>
        </is>
      </c>
      <c r="E19" s="6">
        <f>ROUND('Setup'!$G$5*0.5/'Setup'!$B$10,0)*'Setup'!$B$10</f>
      </c>
      <c r="F19" s="10" t="inlineStr">
        <is>
          <t xml:space="preserve"/>
        </is>
      </c>
    </row>
    <row r="20">
      <c r="A20" s="10" t="inlineStr">
        <is>
          <t xml:space="preserve"/>
        </is>
      </c>
      <c r="B20" s="11" t="inlineStr">
        <is>
          <t xml:space="preserve">3</t>
        </is>
      </c>
      <c r="C20" s="13">
        <v>0.6</v>
      </c>
      <c r="D20" s="11" t="inlineStr">
        <is>
          <t xml:space="preserve">5</t>
        </is>
      </c>
      <c r="E20" s="6">
        <f>ROUND('Setup'!$G$5*0.6/'Setup'!$B$10,0)*'Setup'!$B$10</f>
      </c>
      <c r="F20" s="10" t="inlineStr">
        <is>
          <t xml:space="preserve">Deload — easy, fast bar speed. Let tissue recover.</t>
        </is>
      </c>
    </row>
    <row r="22">
      <c r="A22" s="3" t="inlineStr">
        <is>
          <t xml:space="preserve">SQUAT</t>
        </is>
      </c>
      <c r="B22" s="3" t="inlineStr">
        <is>
          <t xml:space="preserve">Training Max (kg):</t>
        </is>
      </c>
      <c r="C22" s="6">
        <f>'Setup'!$G$6</f>
      </c>
    </row>
    <row r="23">
      <c r="A23" s="2" t="inlineStr">
        <is>
          <t xml:space="preserve">Week</t>
        </is>
      </c>
      <c r="B23" s="2" t="inlineStr">
        <is>
          <t xml:space="preserve">Set</t>
        </is>
      </c>
      <c r="C23" s="2" t="inlineStr">
        <is>
          <t xml:space="preserve">%TM</t>
        </is>
      </c>
      <c r="D23" s="2" t="inlineStr">
        <is>
          <t xml:space="preserve">Target reps</t>
        </is>
      </c>
      <c r="E23" s="2" t="inlineStr">
        <is>
          <t xml:space="preserve">Weight (kg)</t>
        </is>
      </c>
      <c r="F23" s="2" t="inlineStr">
        <is>
          <t xml:space="preserve">Note</t>
        </is>
      </c>
    </row>
    <row r="24">
      <c r="A24" s="11" t="inlineStr">
        <is>
          <t xml:space="preserve">Wk1 (5s)</t>
        </is>
      </c>
      <c r="B24" s="11" t="inlineStr">
        <is>
          <t xml:space="preserve">1</t>
        </is>
      </c>
      <c r="C24" s="13">
        <v>0.65</v>
      </c>
      <c r="D24" s="11" t="inlineStr">
        <is>
          <t xml:space="preserve">5</t>
        </is>
      </c>
      <c r="E24" s="6">
        <f>ROUND('Setup'!$G$6*0.65/'Setup'!$B$10,0)*'Setup'!$B$10</f>
      </c>
      <c r="F24" s="10" t="inlineStr">
        <is>
          <t xml:space="preserve"/>
        </is>
      </c>
    </row>
    <row r="25">
      <c r="A25" s="10" t="inlineStr">
        <is>
          <t xml:space="preserve"/>
        </is>
      </c>
      <c r="B25" s="11" t="inlineStr">
        <is>
          <t xml:space="preserve">2</t>
        </is>
      </c>
      <c r="C25" s="13">
        <v>0.75</v>
      </c>
      <c r="D25" s="11" t="inlineStr">
        <is>
          <t xml:space="preserve">5</t>
        </is>
      </c>
      <c r="E25" s="6">
        <f>ROUND('Setup'!$G$6*0.75/'Setup'!$B$10,0)*'Setup'!$B$10</f>
      </c>
      <c r="F25" s="10" t="inlineStr">
        <is>
          <t xml:space="preserve"/>
        </is>
      </c>
    </row>
    <row r="26">
      <c r="A26" s="10" t="inlineStr">
        <is>
          <t xml:space="preserve"/>
        </is>
      </c>
      <c r="B26" s="11" t="inlineStr">
        <is>
          <t xml:space="preserve">3</t>
        </is>
      </c>
      <c r="C26" s="13">
        <v>0.85</v>
      </c>
      <c r="D26" s="11" t="inlineStr">
        <is>
          <t xml:space="preserve">5+</t>
        </is>
      </c>
      <c r="E26" s="6">
        <f>ROUND('Setup'!$G$6*0.85/'Setup'!$B$10,0)*'Setup'!$B$10</f>
      </c>
      <c r="F26" s="10" t="inlineStr">
        <is>
          <t xml:space="preserve">Top set — cap at RPE 8 (1–2 reps in reserve). No grinding, no failure.</t>
        </is>
      </c>
    </row>
    <row r="27">
      <c r="A27" s="10" t="inlineStr">
        <is>
          <t xml:space="preserve"/>
        </is>
      </c>
      <c r="B27" s="11" t="inlineStr">
        <is>
          <t xml:space="preserve">5×5</t>
        </is>
      </c>
      <c r="C27" s="13">
        <v>0.65</v>
      </c>
      <c r="D27" s="11" t="inlineStr">
        <is>
          <t xml:space="preserve">FSL</t>
        </is>
      </c>
      <c r="E27" s="6">
        <f>ROUND('Setup'!$G$6*0.65/'Setup'!$B$10,0)*'Setup'!$B$10</f>
      </c>
      <c r="F27" s="10" t="inlineStr">
        <is>
          <t xml:space="preserve">First-Set-Last back-off volume — same weight every set, crisp/explosive reps.</t>
        </is>
      </c>
    </row>
    <row r="28">
      <c r="A28" s="11" t="inlineStr">
        <is>
          <t xml:space="preserve">Wk2 (3s)</t>
        </is>
      </c>
      <c r="B28" s="11" t="inlineStr">
        <is>
          <t xml:space="preserve">1</t>
        </is>
      </c>
      <c r="C28" s="13">
        <v>0.7</v>
      </c>
      <c r="D28" s="11" t="inlineStr">
        <is>
          <t xml:space="preserve">3</t>
        </is>
      </c>
      <c r="E28" s="6">
        <f>ROUND('Setup'!$G$6*0.7/'Setup'!$B$10,0)*'Setup'!$B$10</f>
      </c>
      <c r="F28" s="10" t="inlineStr">
        <is>
          <t xml:space="preserve"/>
        </is>
      </c>
    </row>
    <row r="29">
      <c r="A29" s="10" t="inlineStr">
        <is>
          <t xml:space="preserve"/>
        </is>
      </c>
      <c r="B29" s="11" t="inlineStr">
        <is>
          <t xml:space="preserve">2</t>
        </is>
      </c>
      <c r="C29" s="13">
        <v>0.8</v>
      </c>
      <c r="D29" s="11" t="inlineStr">
        <is>
          <t xml:space="preserve">3</t>
        </is>
      </c>
      <c r="E29" s="6">
        <f>ROUND('Setup'!$G$6*0.8/'Setup'!$B$10,0)*'Setup'!$B$10</f>
      </c>
      <c r="F29" s="10" t="inlineStr">
        <is>
          <t xml:space="preserve"/>
        </is>
      </c>
    </row>
    <row r="30">
      <c r="A30" s="10" t="inlineStr">
        <is>
          <t xml:space="preserve"/>
        </is>
      </c>
      <c r="B30" s="11" t="inlineStr">
        <is>
          <t xml:space="preserve">3</t>
        </is>
      </c>
      <c r="C30" s="13">
        <v>0.9</v>
      </c>
      <c r="D30" s="11" t="inlineStr">
        <is>
          <t xml:space="preserve">3+</t>
        </is>
      </c>
      <c r="E30" s="6">
        <f>ROUND('Setup'!$G$6*0.9/'Setup'!$B$10,0)*'Setup'!$B$10</f>
      </c>
      <c r="F30" s="10" t="inlineStr">
        <is>
          <t xml:space="preserve">Top set — cap at RPE 8 (1–2 reps in reserve). No grinding, no failure.</t>
        </is>
      </c>
    </row>
    <row r="31">
      <c r="A31" s="10" t="inlineStr">
        <is>
          <t xml:space="preserve"/>
        </is>
      </c>
      <c r="B31" s="11" t="inlineStr">
        <is>
          <t xml:space="preserve">5×5</t>
        </is>
      </c>
      <c r="C31" s="13">
        <v>0.65</v>
      </c>
      <c r="D31" s="11" t="inlineStr">
        <is>
          <t xml:space="preserve">FSL</t>
        </is>
      </c>
      <c r="E31" s="6">
        <f>ROUND('Setup'!$G$6*0.65/'Setup'!$B$10,0)*'Setup'!$B$10</f>
      </c>
      <c r="F31" s="10" t="inlineStr">
        <is>
          <t xml:space="preserve">First-Set-Last back-off volume — same weight every set, crisp/explosive reps.</t>
        </is>
      </c>
    </row>
    <row r="32">
      <c r="A32" s="11" t="inlineStr">
        <is>
          <t xml:space="preserve">Wk3 (5/3/1)</t>
        </is>
      </c>
      <c r="B32" s="11" t="inlineStr">
        <is>
          <t xml:space="preserve">1</t>
        </is>
      </c>
      <c r="C32" s="13">
        <v>0.75</v>
      </c>
      <c r="D32" s="11" t="inlineStr">
        <is>
          <t xml:space="preserve">5</t>
        </is>
      </c>
      <c r="E32" s="6">
        <f>ROUND('Setup'!$G$6*0.75/'Setup'!$B$10,0)*'Setup'!$B$10</f>
      </c>
      <c r="F32" s="10" t="inlineStr">
        <is>
          <t xml:space="preserve"/>
        </is>
      </c>
    </row>
    <row r="33">
      <c r="A33" s="10" t="inlineStr">
        <is>
          <t xml:space="preserve"/>
        </is>
      </c>
      <c r="B33" s="11" t="inlineStr">
        <is>
          <t xml:space="preserve">2</t>
        </is>
      </c>
      <c r="C33" s="13">
        <v>0.85</v>
      </c>
      <c r="D33" s="11" t="inlineStr">
        <is>
          <t xml:space="preserve">3</t>
        </is>
      </c>
      <c r="E33" s="6">
        <f>ROUND('Setup'!$G$6*0.85/'Setup'!$B$10,0)*'Setup'!$B$10</f>
      </c>
      <c r="F33" s="10" t="inlineStr">
        <is>
          <t xml:space="preserve"/>
        </is>
      </c>
    </row>
    <row r="34">
      <c r="A34" s="10" t="inlineStr">
        <is>
          <t xml:space="preserve"/>
        </is>
      </c>
      <c r="B34" s="11" t="inlineStr">
        <is>
          <t xml:space="preserve">3</t>
        </is>
      </c>
      <c r="C34" s="13">
        <v>0.95</v>
      </c>
      <c r="D34" s="11" t="inlineStr">
        <is>
          <t xml:space="preserve">1+</t>
        </is>
      </c>
      <c r="E34" s="6">
        <f>ROUND('Setup'!$G$6*0.95/'Setup'!$B$10,0)*'Setup'!$B$10</f>
      </c>
      <c r="F34" s="10" t="inlineStr">
        <is>
          <t xml:space="preserve">Top set — cap at RPE 8 (1–2 reps in reserve). No grinding, no failure.</t>
        </is>
      </c>
    </row>
    <row r="35">
      <c r="A35" s="10" t="inlineStr">
        <is>
          <t xml:space="preserve"/>
        </is>
      </c>
      <c r="B35" s="11" t="inlineStr">
        <is>
          <t xml:space="preserve">5×5</t>
        </is>
      </c>
      <c r="C35" s="13">
        <v>0.65</v>
      </c>
      <c r="D35" s="11" t="inlineStr">
        <is>
          <t xml:space="preserve">FSL</t>
        </is>
      </c>
      <c r="E35" s="6">
        <f>ROUND('Setup'!$G$6*0.65/'Setup'!$B$10,0)*'Setup'!$B$10</f>
      </c>
      <c r="F35" s="10" t="inlineStr">
        <is>
          <t xml:space="preserve">First-Set-Last back-off volume — same weight every set, crisp/explosive reps.</t>
        </is>
      </c>
    </row>
    <row r="36">
      <c r="A36" s="11" t="inlineStr">
        <is>
          <t xml:space="preserve">Wk4 (deload)</t>
        </is>
      </c>
      <c r="B36" s="11" t="inlineStr">
        <is>
          <t xml:space="preserve">1</t>
        </is>
      </c>
      <c r="C36" s="13">
        <v>0.4</v>
      </c>
      <c r="D36" s="11" t="inlineStr">
        <is>
          <t xml:space="preserve">5</t>
        </is>
      </c>
      <c r="E36" s="6">
        <f>ROUND('Setup'!$G$6*0.4/'Setup'!$B$10,0)*'Setup'!$B$10</f>
      </c>
      <c r="F36" s="10" t="inlineStr">
        <is>
          <t xml:space="preserve"/>
        </is>
      </c>
    </row>
    <row r="37">
      <c r="A37" s="10" t="inlineStr">
        <is>
          <t xml:space="preserve"/>
        </is>
      </c>
      <c r="B37" s="11" t="inlineStr">
        <is>
          <t xml:space="preserve">2</t>
        </is>
      </c>
      <c r="C37" s="13">
        <v>0.5</v>
      </c>
      <c r="D37" s="11" t="inlineStr">
        <is>
          <t xml:space="preserve">5</t>
        </is>
      </c>
      <c r="E37" s="6">
        <f>ROUND('Setup'!$G$6*0.5/'Setup'!$B$10,0)*'Setup'!$B$10</f>
      </c>
      <c r="F37" s="10" t="inlineStr">
        <is>
          <t xml:space="preserve"/>
        </is>
      </c>
    </row>
    <row r="38">
      <c r="A38" s="10" t="inlineStr">
        <is>
          <t xml:space="preserve"/>
        </is>
      </c>
      <c r="B38" s="11" t="inlineStr">
        <is>
          <t xml:space="preserve">3</t>
        </is>
      </c>
      <c r="C38" s="13">
        <v>0.6</v>
      </c>
      <c r="D38" s="11" t="inlineStr">
        <is>
          <t xml:space="preserve">5</t>
        </is>
      </c>
      <c r="E38" s="6">
        <f>ROUND('Setup'!$G$6*0.6/'Setup'!$B$10,0)*'Setup'!$B$10</f>
      </c>
      <c r="F38" s="10" t="inlineStr">
        <is>
          <t xml:space="preserve">Deload — easy, fast bar speed. Let tissue recover.</t>
        </is>
      </c>
    </row>
    <row r="40">
      <c r="A40" s="3" t="inlineStr">
        <is>
          <t xml:space="preserve">BENCH</t>
        </is>
      </c>
      <c r="B40" s="3" t="inlineStr">
        <is>
          <t xml:space="preserve">Training Max (kg):</t>
        </is>
      </c>
      <c r="C40" s="6">
        <f>'Setup'!$G$7</f>
      </c>
    </row>
    <row r="41">
      <c r="A41" s="2" t="inlineStr">
        <is>
          <t xml:space="preserve">Week</t>
        </is>
      </c>
      <c r="B41" s="2" t="inlineStr">
        <is>
          <t xml:space="preserve">Set</t>
        </is>
      </c>
      <c r="C41" s="2" t="inlineStr">
        <is>
          <t xml:space="preserve">%TM</t>
        </is>
      </c>
      <c r="D41" s="2" t="inlineStr">
        <is>
          <t xml:space="preserve">Target reps</t>
        </is>
      </c>
      <c r="E41" s="2" t="inlineStr">
        <is>
          <t xml:space="preserve">Weight (kg)</t>
        </is>
      </c>
      <c r="F41" s="2" t="inlineStr">
        <is>
          <t xml:space="preserve">Note</t>
        </is>
      </c>
    </row>
    <row r="42">
      <c r="A42" s="11" t="inlineStr">
        <is>
          <t xml:space="preserve">Wk1 (5s)</t>
        </is>
      </c>
      <c r="B42" s="11" t="inlineStr">
        <is>
          <t xml:space="preserve">1</t>
        </is>
      </c>
      <c r="C42" s="13">
        <v>0.65</v>
      </c>
      <c r="D42" s="11" t="inlineStr">
        <is>
          <t xml:space="preserve">5</t>
        </is>
      </c>
      <c r="E42" s="6">
        <f>ROUND('Setup'!$G$7*0.65/'Setup'!$B$10,0)*'Setup'!$B$10</f>
      </c>
      <c r="F42" s="10" t="inlineStr">
        <is>
          <t xml:space="preserve"/>
        </is>
      </c>
    </row>
    <row r="43">
      <c r="A43" s="10" t="inlineStr">
        <is>
          <t xml:space="preserve"/>
        </is>
      </c>
      <c r="B43" s="11" t="inlineStr">
        <is>
          <t xml:space="preserve">2</t>
        </is>
      </c>
      <c r="C43" s="13">
        <v>0.75</v>
      </c>
      <c r="D43" s="11" t="inlineStr">
        <is>
          <t xml:space="preserve">5</t>
        </is>
      </c>
      <c r="E43" s="6">
        <f>ROUND('Setup'!$G$7*0.75/'Setup'!$B$10,0)*'Setup'!$B$10</f>
      </c>
      <c r="F43" s="10" t="inlineStr">
        <is>
          <t xml:space="preserve"/>
        </is>
      </c>
    </row>
    <row r="44">
      <c r="A44" s="10" t="inlineStr">
        <is>
          <t xml:space="preserve"/>
        </is>
      </c>
      <c r="B44" s="11" t="inlineStr">
        <is>
          <t xml:space="preserve">3</t>
        </is>
      </c>
      <c r="C44" s="13">
        <v>0.85</v>
      </c>
      <c r="D44" s="11" t="inlineStr">
        <is>
          <t xml:space="preserve">5+</t>
        </is>
      </c>
      <c r="E44" s="6">
        <f>ROUND('Setup'!$G$7*0.85/'Setup'!$B$10,0)*'Setup'!$B$10</f>
      </c>
      <c r="F44" s="10" t="inlineStr">
        <is>
          <t xml:space="preserve">NO AMRAP — hit the number then STOP 2–3 reps short. Shoulder gates this set.</t>
        </is>
      </c>
    </row>
    <row r="45">
      <c r="A45" s="10" t="inlineStr">
        <is>
          <t xml:space="preserve"/>
        </is>
      </c>
      <c r="B45" s="11" t="inlineStr">
        <is>
          <t xml:space="preserve">5×5</t>
        </is>
      </c>
      <c r="C45" s="13">
        <v>0.65</v>
      </c>
      <c r="D45" s="11" t="inlineStr">
        <is>
          <t xml:space="preserve">FSL</t>
        </is>
      </c>
      <c r="E45" s="6">
        <f>ROUND('Setup'!$G$7*0.65/'Setup'!$B$10,0)*'Setup'!$B$10</f>
      </c>
      <c r="F45" s="10" t="inlineStr">
        <is>
          <t xml:space="preserve">First-Set-Last back-off volume — same weight every set, crisp/explosive reps.</t>
        </is>
      </c>
    </row>
    <row r="46">
      <c r="A46" s="11" t="inlineStr">
        <is>
          <t xml:space="preserve">Wk2 (3s)</t>
        </is>
      </c>
      <c r="B46" s="11" t="inlineStr">
        <is>
          <t xml:space="preserve">1</t>
        </is>
      </c>
      <c r="C46" s="13">
        <v>0.7</v>
      </c>
      <c r="D46" s="11" t="inlineStr">
        <is>
          <t xml:space="preserve">3</t>
        </is>
      </c>
      <c r="E46" s="6">
        <f>ROUND('Setup'!$G$7*0.7/'Setup'!$B$10,0)*'Setup'!$B$10</f>
      </c>
      <c r="F46" s="10" t="inlineStr">
        <is>
          <t xml:space="preserve"/>
        </is>
      </c>
    </row>
    <row r="47">
      <c r="A47" s="10" t="inlineStr">
        <is>
          <t xml:space="preserve"/>
        </is>
      </c>
      <c r="B47" s="11" t="inlineStr">
        <is>
          <t xml:space="preserve">2</t>
        </is>
      </c>
      <c r="C47" s="13">
        <v>0.8</v>
      </c>
      <c r="D47" s="11" t="inlineStr">
        <is>
          <t xml:space="preserve">3</t>
        </is>
      </c>
      <c r="E47" s="6">
        <f>ROUND('Setup'!$G$7*0.8/'Setup'!$B$10,0)*'Setup'!$B$10</f>
      </c>
      <c r="F47" s="10" t="inlineStr">
        <is>
          <t xml:space="preserve"/>
        </is>
      </c>
    </row>
    <row r="48">
      <c r="A48" s="10" t="inlineStr">
        <is>
          <t xml:space="preserve"/>
        </is>
      </c>
      <c r="B48" s="11" t="inlineStr">
        <is>
          <t xml:space="preserve">3</t>
        </is>
      </c>
      <c r="C48" s="13">
        <v>0.9</v>
      </c>
      <c r="D48" s="11" t="inlineStr">
        <is>
          <t xml:space="preserve">3+</t>
        </is>
      </c>
      <c r="E48" s="6">
        <f>ROUND('Setup'!$G$7*0.9/'Setup'!$B$10,0)*'Setup'!$B$10</f>
      </c>
      <c r="F48" s="10" t="inlineStr">
        <is>
          <t xml:space="preserve">NO AMRAP — hit the number then STOP 2–3 reps short. Shoulder gates this set.</t>
        </is>
      </c>
    </row>
    <row r="49">
      <c r="A49" s="10" t="inlineStr">
        <is>
          <t xml:space="preserve"/>
        </is>
      </c>
      <c r="B49" s="11" t="inlineStr">
        <is>
          <t xml:space="preserve">5×5</t>
        </is>
      </c>
      <c r="C49" s="13">
        <v>0.65</v>
      </c>
      <c r="D49" s="11" t="inlineStr">
        <is>
          <t xml:space="preserve">FSL</t>
        </is>
      </c>
      <c r="E49" s="6">
        <f>ROUND('Setup'!$G$7*0.65/'Setup'!$B$10,0)*'Setup'!$B$10</f>
      </c>
      <c r="F49" s="10" t="inlineStr">
        <is>
          <t xml:space="preserve">First-Set-Last back-off volume — same weight every set, crisp/explosive reps.</t>
        </is>
      </c>
    </row>
    <row r="50">
      <c r="A50" s="11" t="inlineStr">
        <is>
          <t xml:space="preserve">Wk3 (5/3/1)</t>
        </is>
      </c>
      <c r="B50" s="11" t="inlineStr">
        <is>
          <t xml:space="preserve">1</t>
        </is>
      </c>
      <c r="C50" s="13">
        <v>0.75</v>
      </c>
      <c r="D50" s="11" t="inlineStr">
        <is>
          <t xml:space="preserve">5</t>
        </is>
      </c>
      <c r="E50" s="6">
        <f>ROUND('Setup'!$G$7*0.75/'Setup'!$B$10,0)*'Setup'!$B$10</f>
      </c>
      <c r="F50" s="10" t="inlineStr">
        <is>
          <t xml:space="preserve"/>
        </is>
      </c>
    </row>
    <row r="51">
      <c r="A51" s="10" t="inlineStr">
        <is>
          <t xml:space="preserve"/>
        </is>
      </c>
      <c r="B51" s="11" t="inlineStr">
        <is>
          <t xml:space="preserve">2</t>
        </is>
      </c>
      <c r="C51" s="13">
        <v>0.85</v>
      </c>
      <c r="D51" s="11" t="inlineStr">
        <is>
          <t xml:space="preserve">3</t>
        </is>
      </c>
      <c r="E51" s="6">
        <f>ROUND('Setup'!$G$7*0.85/'Setup'!$B$10,0)*'Setup'!$B$10</f>
      </c>
      <c r="F51" s="10" t="inlineStr">
        <is>
          <t xml:space="preserve"/>
        </is>
      </c>
    </row>
    <row r="52">
      <c r="A52" s="10" t="inlineStr">
        <is>
          <t xml:space="preserve"/>
        </is>
      </c>
      <c r="B52" s="11" t="inlineStr">
        <is>
          <t xml:space="preserve">3</t>
        </is>
      </c>
      <c r="C52" s="13">
        <v>0.95</v>
      </c>
      <c r="D52" s="11" t="inlineStr">
        <is>
          <t xml:space="preserve">1+</t>
        </is>
      </c>
      <c r="E52" s="6">
        <f>ROUND('Setup'!$G$7*0.95/'Setup'!$B$10,0)*'Setup'!$B$10</f>
      </c>
      <c r="F52" s="10" t="inlineStr">
        <is>
          <t xml:space="preserve">NO AMRAP — hit the number then STOP 2–3 reps short. Shoulder gates this set.</t>
        </is>
      </c>
    </row>
    <row r="53">
      <c r="A53" s="10" t="inlineStr">
        <is>
          <t xml:space="preserve"/>
        </is>
      </c>
      <c r="B53" s="11" t="inlineStr">
        <is>
          <t xml:space="preserve">5×5</t>
        </is>
      </c>
      <c r="C53" s="13">
        <v>0.65</v>
      </c>
      <c r="D53" s="11" t="inlineStr">
        <is>
          <t xml:space="preserve">FSL</t>
        </is>
      </c>
      <c r="E53" s="6">
        <f>ROUND('Setup'!$G$7*0.65/'Setup'!$B$10,0)*'Setup'!$B$10</f>
      </c>
      <c r="F53" s="10" t="inlineStr">
        <is>
          <t xml:space="preserve">First-Set-Last back-off volume — same weight every set, crisp/explosive reps.</t>
        </is>
      </c>
    </row>
    <row r="54">
      <c r="A54" s="11" t="inlineStr">
        <is>
          <t xml:space="preserve">Wk4 (deload)</t>
        </is>
      </c>
      <c r="B54" s="11" t="inlineStr">
        <is>
          <t xml:space="preserve">1</t>
        </is>
      </c>
      <c r="C54" s="13">
        <v>0.4</v>
      </c>
      <c r="D54" s="11" t="inlineStr">
        <is>
          <t xml:space="preserve">5</t>
        </is>
      </c>
      <c r="E54" s="6">
        <f>ROUND('Setup'!$G$7*0.4/'Setup'!$B$10,0)*'Setup'!$B$10</f>
      </c>
      <c r="F54" s="10" t="inlineStr">
        <is>
          <t xml:space="preserve"/>
        </is>
      </c>
    </row>
    <row r="55">
      <c r="A55" s="10" t="inlineStr">
        <is>
          <t xml:space="preserve"/>
        </is>
      </c>
      <c r="B55" s="11" t="inlineStr">
        <is>
          <t xml:space="preserve">2</t>
        </is>
      </c>
      <c r="C55" s="13">
        <v>0.5</v>
      </c>
      <c r="D55" s="11" t="inlineStr">
        <is>
          <t xml:space="preserve">5</t>
        </is>
      </c>
      <c r="E55" s="6">
        <f>ROUND('Setup'!$G$7*0.5/'Setup'!$B$10,0)*'Setup'!$B$10</f>
      </c>
      <c r="F55" s="10" t="inlineStr">
        <is>
          <t xml:space="preserve"/>
        </is>
      </c>
    </row>
    <row r="56">
      <c r="A56" s="10" t="inlineStr">
        <is>
          <t xml:space="preserve"/>
        </is>
      </c>
      <c r="B56" s="11" t="inlineStr">
        <is>
          <t xml:space="preserve">3</t>
        </is>
      </c>
      <c r="C56" s="13">
        <v>0.6</v>
      </c>
      <c r="D56" s="11" t="inlineStr">
        <is>
          <t xml:space="preserve">5</t>
        </is>
      </c>
      <c r="E56" s="6">
        <f>ROUND('Setup'!$G$7*0.6/'Setup'!$B$10,0)*'Setup'!$B$10</f>
      </c>
      <c r="F56" s="10" t="inlineStr">
        <is>
          <t xml:space="preserve">Deload — easy, fast bar speed. Let tissue recover.</t>
        </is>
      </c>
    </row>
  </sheetData>
</worksheet>
</file>

<file path=xl/worksheets/sheet3.xml><?xml version="1.0" encoding="utf-8"?>
<worksheet xmlns="http://schemas.openxmlformats.org/spreadsheetml/2006/main">
  <cols>
    <col min="1" max="1" width="11.0" customWidth="1"/>
    <col min="2" max="2" width="30.0" customWidth="1"/>
    <col min="3" max="3" width="12.0" customWidth="1"/>
    <col min="4" max="4" width="62.0" customWidth="1"/>
  </cols>
  <sheetData>
    <row r="1">
      <c r="A1" s="1" t="inlineStr">
        <is>
          <t xml:space="preserve">Weekly Template &amp; Standing Rules</t>
        </is>
      </c>
    </row>
    <row r="2">
      <c r="A2" s="8" t="inlineStr">
        <is>
          <t xml:space="preserve">5 training days + sport, but only 3–4 are truly HARD. The rest are deliberately easy. Manage hard-session density, not calendar days.</t>
        </is>
      </c>
    </row>
    <row r="4">
      <c r="A4" s="2" t="inlineStr">
        <is>
          <t xml:space="preserve">Day</t>
        </is>
      </c>
      <c r="B4" s="2" t="inlineStr">
        <is>
          <t xml:space="preserve">Session</t>
        </is>
      </c>
      <c r="C4" s="2" t="inlineStr">
        <is>
          <t xml:space="preserve">Type</t>
        </is>
      </c>
      <c r="D4" s="2" t="inlineStr">
        <is>
          <t xml:space="preserve">Main work</t>
        </is>
      </c>
    </row>
    <row r="5">
      <c r="A5" s="9" t="inlineStr">
        <is>
          <t xml:space="preserve">Mon</t>
        </is>
      </c>
      <c r="B5" s="10" t="inlineStr">
        <is>
          <t xml:space="preserve">Squat (hard) + push</t>
        </is>
      </c>
      <c r="C5" s="11" t="inlineStr">
        <is>
          <t xml:space="preserve">HARD</t>
        </is>
      </c>
      <c r="D5" s="10" t="inlineStr">
        <is>
          <t xml:space="preserve">Squat 5/3/1 top set @ RPE 7–8 + FSL 5×5 @ 65%. Bench 4×5 @ RPE 6–7 (reps in reserve, no AMRAP).</t>
        </is>
      </c>
    </row>
    <row r="6">
      <c r="A6" s="9" t="inlineStr">
        <is>
          <t xml:space="preserve">Tue</t>
        </is>
      </c>
      <c r="B6" s="10" t="inlineStr">
        <is>
          <t xml:space="preserve">Martial arts (technical)</t>
        </is>
      </c>
      <c r="C6" s="11" t="inlineStr">
        <is>
          <t xml:space="preserve">Easy–Mod</t>
        </is>
      </c>
      <c r="D6" s="10" t="inlineStr">
        <is>
          <t xml:space="preserve">Skill / drilling emphasis, light rounds. Not the same hard muscles as Mon.</t>
        </is>
      </c>
    </row>
    <row r="7">
      <c r="A7" s="9" t="inlineStr">
        <is>
          <t xml:space="preserve">Wed</t>
        </is>
      </c>
      <c r="B7" s="10" t="inlineStr">
        <is>
          <t xml:space="preserve">Bench / upper (capped) + back</t>
        </is>
      </c>
      <c r="C7" s="11" t="inlineStr">
        <is>
          <t xml:space="preserve">HARD (upper)</t>
        </is>
      </c>
      <c r="D7" s="10" t="inlineStr">
        <is>
          <t xml:space="preserve">Bench top sets @ RPE 7 + back-off + heavy rows 4×6–8. Cuff + face pulls.</t>
        </is>
      </c>
    </row>
    <row r="8">
      <c r="A8" s="9" t="inlineStr">
        <is>
          <t xml:space="preserve">Thu</t>
        </is>
      </c>
      <c r="B8" s="10" t="inlineStr">
        <is>
          <t xml:space="preserve">Z2 + easy technique squat</t>
        </is>
      </c>
      <c r="C8" s="11" t="inlineStr">
        <is>
          <t xml:space="preserve">EASY</t>
        </is>
      </c>
      <c r="D8" s="10" t="inlineStr">
        <is>
          <t xml:space="preserve">Zone-2 cycle/row 30–40 min (conversational). Optional light paused squat 3×3 @ 60% for skill.</t>
        </is>
      </c>
    </row>
    <row r="9">
      <c r="A9" s="9" t="inlineStr">
        <is>
          <t xml:space="preserve">Fri</t>
        </is>
      </c>
      <c r="B9" s="10" t="inlineStr">
        <is>
          <t xml:space="preserve">Deadlift (hard) + posterior chain</t>
        </is>
      </c>
      <c r="C9" s="11" t="inlineStr">
        <is>
          <t xml:space="preserve">HARD</t>
        </is>
      </c>
      <c r="D9" s="10" t="inlineStr">
        <is>
          <t xml:space="preserve">DL 5/3/1 top set @ RPE 7–8 + FSL 4×5 @ 65%. RDL / back. Post-lift loaded split work (lower body).</t>
        </is>
      </c>
    </row>
    <row r="10">
      <c r="A10" s="9" t="inlineStr">
        <is>
          <t xml:space="preserve">Sat</t>
        </is>
      </c>
      <c r="B10" s="10" t="inlineStr">
        <is>
          <t xml:space="preserve">Hard sparring OR capped run</t>
        </is>
      </c>
      <c r="C10" s="11" t="inlineStr">
        <is>
          <t xml:space="preserve">HARD (sport)</t>
        </is>
      </c>
      <c r="D10" s="10" t="inlineStr">
        <is>
          <t xml:space="preserve">ONE hard sport session, ideally standalone. Not the day before/after a hard lower-body day without checking readiness.</t>
        </is>
      </c>
    </row>
    <row r="11">
      <c r="A11" s="9" t="inlineStr">
        <is>
          <t xml:space="preserve">Sun</t>
        </is>
      </c>
      <c r="B11" s="10" t="inlineStr">
        <is>
          <t xml:space="preserve">Full rest + passive mobility</t>
        </is>
      </c>
      <c r="C11" s="11" t="inlineStr">
        <is>
          <t xml:space="preserve">OFF</t>
        </is>
      </c>
      <c r="D11" s="10" t="inlineStr">
        <is>
          <t xml:space="preserve">Daily passive PNF split holds only. No loading.</t>
        </is>
      </c>
    </row>
    <row r="13">
      <c r="A13" s="3" t="inlineStr">
        <is>
          <t xml:space="preserve">Accessories  (3–5 per hard day · RPE 7–8 · double progression)</t>
        </is>
      </c>
      <c r="B13" s="3" t="inlineStr">
        <is>
          <t xml:space="preserve"/>
        </is>
      </c>
      <c r="C13" s="3" t="inlineStr">
        <is>
          <t xml:space="preserve"/>
        </is>
      </c>
      <c r="D13" s="3" t="inlineStr">
        <is>
          <t xml:space="preserve"/>
        </is>
      </c>
    </row>
    <row r="14">
      <c r="A14" s="2" t="inlineStr">
        <is>
          <t xml:space="preserve">Day</t>
        </is>
      </c>
      <c r="B14" s="2" t="inlineStr">
        <is>
          <t xml:space="preserve">Movement</t>
        </is>
      </c>
      <c r="C14" s="2" t="inlineStr">
        <is>
          <t xml:space="preserve">Sets×reps</t>
        </is>
      </c>
      <c r="D14" s="2" t="inlineStr">
        <is>
          <t xml:space="preserve">Purpose</t>
        </is>
      </c>
    </row>
    <row r="15">
      <c r="A15" s="9" t="inlineStr">
        <is>
          <t xml:space="preserve">Mon</t>
        </is>
      </c>
      <c r="B15" s="10" t="inlineStr">
        <is>
          <t xml:space="preserve">Leg press OR Bulgarian split squat</t>
        </is>
      </c>
      <c r="C15" s="11" t="inlineStr">
        <is>
          <t xml:space="preserve">3×10–12</t>
        </is>
      </c>
      <c r="D15" s="10" t="inlineStr">
        <is>
          <t xml:space="preserve">Quad volume, low spinal load; single-leg aids MA + hips</t>
        </is>
      </c>
    </row>
    <row r="16">
      <c r="A16" s="9" t="inlineStr">
        <is>
          <t xml:space="preserve"/>
        </is>
      </c>
      <c r="B16" s="10" t="inlineStr">
        <is>
          <t xml:space="preserve">Lying / seated leg curl</t>
        </is>
      </c>
      <c r="C16" s="11" t="inlineStr">
        <is>
          <t xml:space="preserve">3×12–15</t>
        </is>
      </c>
      <c r="D16" s="10" t="inlineStr">
        <is>
          <t xml:space="preserve">Hamstring, knee health</t>
        </is>
      </c>
    </row>
    <row r="17">
      <c r="A17" s="9" t="inlineStr">
        <is>
          <t xml:space="preserve"/>
        </is>
      </c>
      <c r="B17" s="10" t="inlineStr">
        <is>
          <t xml:space="preserve">Triceps pushdown</t>
        </is>
      </c>
      <c r="C17" s="11" t="inlineStr">
        <is>
          <t xml:space="preserve">3×12–15</t>
        </is>
      </c>
      <c r="D17" s="10" t="inlineStr">
        <is>
          <t xml:space="preserve">Bench lockout, elbow-friendly</t>
        </is>
      </c>
    </row>
    <row r="18">
      <c r="A18" s="9" t="inlineStr">
        <is>
          <t xml:space="preserve"/>
        </is>
      </c>
      <c r="B18" s="10" t="inlineStr">
        <is>
          <t xml:space="preserve">Hanging leg raise / ab wheel</t>
        </is>
      </c>
      <c r="C18" s="11" t="inlineStr">
        <is>
          <t xml:space="preserve">3×10–15</t>
        </is>
      </c>
      <c r="D18" s="10" t="inlineStr">
        <is>
          <t xml:space="preserve">Trunk / bracing</t>
        </is>
      </c>
    </row>
    <row r="19">
      <c r="A19" s="9" t="inlineStr">
        <is>
          <t xml:space="preserve">Wed</t>
        </is>
      </c>
      <c r="B19" s="10" t="inlineStr">
        <is>
          <t xml:space="preserve">Chest-supported row (or seal row)</t>
        </is>
      </c>
      <c r="C19" s="11" t="inlineStr">
        <is>
          <t xml:space="preserve">4×8–12</t>
        </is>
      </c>
      <c r="D19" s="10" t="inlineStr">
        <is>
          <t xml:space="preserve">Back thickness, balances bench, no low-back load</t>
        </is>
      </c>
    </row>
    <row r="20">
      <c r="A20" s="9" t="inlineStr">
        <is>
          <t xml:space="preserve"/>
        </is>
      </c>
      <c r="B20" s="10" t="inlineStr">
        <is>
          <t xml:space="preserve">Neutral-grip lat pulldown</t>
        </is>
      </c>
      <c r="C20" s="11" t="inlineStr">
        <is>
          <t xml:space="preserve">3×10–12</t>
        </is>
      </c>
      <c r="D20" s="10" t="inlineStr">
        <is>
          <t xml:space="preserve">Vertical pull, shoulder-friendly</t>
        </is>
      </c>
    </row>
    <row r="21">
      <c r="A21" s="9" t="inlineStr">
        <is>
          <t xml:space="preserve"/>
        </is>
      </c>
      <c r="B21" s="10" t="inlineStr">
        <is>
          <t xml:space="preserve">Incline DB press, neutral grip *</t>
        </is>
      </c>
      <c r="C21" s="11" t="inlineStr">
        <is>
          <t xml:space="preserve">3×8–12</t>
        </is>
      </c>
      <c r="D21" s="10" t="inlineStr">
        <is>
          <t xml:space="preserve">Upper-chest / press — ONLY if pain-free</t>
        </is>
      </c>
    </row>
    <row r="22">
      <c r="A22" s="9" t="inlineStr">
        <is>
          <t xml:space="preserve"/>
        </is>
      </c>
      <c r="B22" s="10" t="inlineStr">
        <is>
          <t xml:space="preserve">DB hammer curl</t>
        </is>
      </c>
      <c r="C22" s="11" t="inlineStr">
        <is>
          <t xml:space="preserve">3×12</t>
        </is>
      </c>
      <c r="D22" s="10" t="inlineStr">
        <is>
          <t xml:space="preserve">Biceps / elbow health, mass</t>
        </is>
      </c>
    </row>
    <row r="23">
      <c r="A23" s="9" t="inlineStr">
        <is>
          <t xml:space="preserve"/>
        </is>
      </c>
      <c r="B23" s="10" t="inlineStr">
        <is>
          <t xml:space="preserve">Face pulls + band external rotation</t>
        </is>
      </c>
      <c r="C23" s="11" t="inlineStr">
        <is>
          <t xml:space="preserve">3–4×15–20</t>
        </is>
      </c>
      <c r="D23" s="10" t="inlineStr">
        <is>
          <t xml:space="preserve">Rear delt + cuff (prehab doubles as accessory)</t>
        </is>
      </c>
    </row>
    <row r="24">
      <c r="A24" s="9" t="inlineStr">
        <is>
          <t xml:space="preserve">Fri</t>
        </is>
      </c>
      <c r="B24" s="10" t="inlineStr">
        <is>
          <t xml:space="preserve">Romanian deadlift</t>
        </is>
      </c>
      <c r="C24" s="11" t="inlineStr">
        <is>
          <t xml:space="preserve">3×8–10</t>
        </is>
      </c>
      <c r="D24" s="10" t="inlineStr">
        <is>
          <t xml:space="preserve">Ham / glute, DL carryover</t>
        </is>
      </c>
    </row>
    <row r="25">
      <c r="A25" s="9" t="inlineStr">
        <is>
          <t xml:space="preserve"/>
        </is>
      </c>
      <c r="B25" s="10" t="inlineStr">
        <is>
          <t xml:space="preserve">45° back extension</t>
        </is>
      </c>
      <c r="C25" s="11" t="inlineStr">
        <is>
          <t xml:space="preserve">3×12–15</t>
        </is>
      </c>
      <c r="D25" s="10" t="inlineStr">
        <is>
          <t xml:space="preserve">Low-back / glute, low systemic cost</t>
        </is>
      </c>
    </row>
    <row r="26">
      <c r="A26" s="9" t="inlineStr">
        <is>
          <t xml:space="preserve"/>
        </is>
      </c>
      <c r="B26" s="10" t="inlineStr">
        <is>
          <t xml:space="preserve">Chest-supported / DB row</t>
        </is>
      </c>
      <c r="C26" s="11" t="inlineStr">
        <is>
          <t xml:space="preserve">3×10</t>
        </is>
      </c>
      <c r="D26" s="10" t="inlineStr">
        <is>
          <t xml:space="preserve">Upper back for lockout &amp; posture</t>
        </is>
      </c>
    </row>
    <row r="27">
      <c r="A27" s="9" t="inlineStr">
        <is>
          <t xml:space="preserve"/>
        </is>
      </c>
      <c r="B27" s="10" t="inlineStr">
        <is>
          <t xml:space="preserve">Cable crunch / plank</t>
        </is>
      </c>
      <c r="C27" s="11" t="inlineStr">
        <is>
          <t xml:space="preserve">3×10–15 / 30–45s</t>
        </is>
      </c>
      <c r="D27" s="10" t="inlineStr">
        <is>
          <t xml:space="preserve">Anti-flexion / extension core</t>
        </is>
      </c>
    </row>
    <row r="28">
      <c r="A28" s="9" t="inlineStr">
        <is>
          <t xml:space="preserve"/>
        </is>
      </c>
      <c r="B28" s="10" t="inlineStr">
        <is>
          <t xml:space="preserve">(Optional) heavy carries / grip holds</t>
        </is>
      </c>
      <c r="C28" s="11" t="inlineStr">
        <is>
          <t xml:space="preserve">3×30m / 20–30s</t>
        </is>
      </c>
      <c r="D28" s="10" t="inlineStr">
        <is>
          <t xml:space="preserve">Grip + trunk; nods to strongman base</t>
        </is>
      </c>
    </row>
    <row r="29">
      <c r="A29" s="8" t="inlineStr">
        <is>
          <t xml:space="preserve">* Defer incline press until the shoulder tolerates the full bench ladder. Double progression: hit the top of the rep range on all sets at RIR ≥ 2 → +2.5–5 kg, back to the bottom. Never to failure.</t>
        </is>
      </c>
    </row>
    <row r="31">
      <c r="A31" s="3" t="inlineStr">
        <is>
          <t xml:space="preserve">Shoulder — keep running alongside (symptom-gated)</t>
        </is>
      </c>
      <c r="B31" s="3" t="inlineStr">
        <is>
          <t xml:space="preserve"/>
        </is>
      </c>
      <c r="C31" s="3" t="inlineStr">
        <is>
          <t xml:space="preserve"/>
        </is>
      </c>
      <c r="D31" s="3" t="inlineStr">
        <is>
          <t xml:space="preserve"/>
        </is>
      </c>
    </row>
    <row r="32">
      <c r="A32" s="8" t="inlineStr">
        <is>
          <t xml:space="preserve">Near-daily, light: band face pulls w/ end-range external rotation, serratus/wall slides, prone Y/T — 2–3 × 15–25 reps.</t>
        </is>
      </c>
    </row>
    <row r="33">
      <c r="A33" s="8" t="inlineStr">
        <is>
          <t xml:space="preserve">Loaded cuff (band/cable external rotation): 3–4×/week WITH rest (not daily) — loaded beats bodyweight-only.</t>
        </is>
      </c>
    </row>
    <row r="34">
      <c r="A34" s="8" t="inlineStr">
        <is>
          <t xml:space="preserve">Bench ladder, advance only when pain-free: DB floor press → DB bench → machine → pin/board press → full barbell bench.</t>
        </is>
      </c>
    </row>
    <row r="35">
      <c r="A35" s="8" t="inlineStr">
        <is>
          <t xml:space="preserve">Overhead barbell = DEFERRED until full pain-free overhead flexion. Sequence: landmine → bottoms-up KB → neutral-grip DB → barbell.</t>
        </is>
      </c>
    </row>
    <row r="36">
      <c r="A36" s="8" t="inlineStr">
        <is>
          <t xml:space="preserve">Pain rule: ≤5/10 during set, no rep-to-rep escalation, back to baseline next morning, no night pain. Else cut load/volume.</t>
        </is>
      </c>
    </row>
    <row r="37">
      <c r="A37" s="8" t="inlineStr">
        <is>
          <t xml:space="preserve">RED FLAGS → stop &amp; see a physio: night pain that wakes you, true weakness, numbness down the arm, the shoulder slipping. Get loading clearance.</t>
        </is>
      </c>
    </row>
    <row r="39">
      <c r="A39" s="3" t="inlineStr">
        <is>
          <t xml:space="preserve">Splits / flexibility</t>
        </is>
      </c>
      <c r="B39" s="3" t="inlineStr">
        <is>
          <t xml:space="preserve"/>
        </is>
      </c>
      <c r="C39" s="3" t="inlineStr">
        <is>
          <t xml:space="preserve"/>
        </is>
      </c>
      <c r="D39" s="3" t="inlineStr">
        <is>
          <t xml:space="preserve"/>
        </is>
      </c>
    </row>
    <row r="40">
      <c r="A40" s="8" t="inlineStr">
        <is>
          <t xml:space="preserve">Mode A (backbone): DAILY passive/PNF on warm muscle — 2–3 × 60–120 s per position (front split each leg, side split, pancake/straddle).</t>
        </is>
      </c>
    </row>
    <row r="41">
      <c r="A41" s="8" t="inlineStr">
        <is>
          <t xml:space="preserve">Mode B (complement): loaded end-range 2×/week, lower body only (weighted straddle, Cossack squats, ATG split squats, Jefferson curls).</t>
        </is>
      </c>
    </row>
    <row r="42">
      <c r="A42" s="8" t="inlineStr">
        <is>
          <t xml:space="preserve">Squat/kick limiters to prioritise: ankle dorsiflexion (≥12 cm knee-to-wall), hip flexors, adductors/groin, hip external rotation (90/90).</t>
        </is>
      </c>
    </row>
    <row r="43">
      <c r="A43" s="8" t="inlineStr">
        <is>
          <t xml:space="preserve">Timing: NEVER &gt;60 s static stretch before lifting (cuts strength 4–7.5%). Pre-lift = dynamic warm-up only. Real split work = post-session / rest days.</t>
        </is>
      </c>
    </row>
    <row r="44">
      <c r="A44" s="8" t="inlineStr">
        <is>
          <t xml:space="preserve">Realistic timeline: front split 6–9 months; side split 12+ months and may never go fully flat (hip anatomy). 'Splits in 4 weeks' = marketing.</t>
        </is>
      </c>
    </row>
    <row r="46">
      <c r="A46" s="3" t="inlineStr">
        <is>
          <t xml:space="preserve">When fatigue hits (cut in THIS order)</t>
        </is>
      </c>
      <c r="B46" s="3" t="inlineStr">
        <is>
          <t xml:space="preserve"/>
        </is>
      </c>
      <c r="C46" s="3" t="inlineStr">
        <is>
          <t xml:space="preserve"/>
        </is>
      </c>
      <c r="D46" s="3" t="inlineStr">
        <is>
          <t xml:space="preserve"/>
        </is>
      </c>
    </row>
    <row r="47">
      <c r="A47" s="8" t="inlineStr">
        <is>
          <t xml:space="preserve">1) Conditioning volume  →  2) Accessory lifting  →  3) Main-lift hard sessions.  Protect main lifts and shoulder rehab LAST.</t>
        </is>
      </c>
    </row>
    <row r="48">
      <c r="A48" s="8" t="inlineStr">
        <is>
          <t xml:space="preserve">Warning signs: FSL bar speed drops, sleep worsens, shoulder starts talking, motivation tanks. Take the deload early — don't earn it the hard way.</t>
        </is>
      </c>
    </row>
  </sheetData>
</worksheet>
</file>

<file path=xl/worksheets/sheet4.xml><?xml version="1.0" encoding="utf-8"?>
<worksheet xmlns="http://schemas.openxmlformats.org/spreadsheetml/2006/main">
  <cols>
    <col min="1" max="1" width="12.0" customWidth="1"/>
    <col min="2" max="2" width="8.0" customWidth="1"/>
    <col min="3" max="3" width="12.0" customWidth="1"/>
    <col min="4" max="4" width="18.0" customWidth="1"/>
    <col min="5" max="5" width="6.0" customWidth="1"/>
    <col min="6" max="6" width="13.0" customWidth="1"/>
    <col min="7" max="7" width="17.0" customWidth="1"/>
    <col min="8" max="8" width="9.0" customWidth="1"/>
    <col min="9" max="9" width="32.0" customWidth="1"/>
  </cols>
  <sheetData>
    <row r="1">
      <c r="A1" s="1" t="inlineStr">
        <is>
          <t xml:space="preserve">Session Log</t>
        </is>
      </c>
    </row>
    <row r="2">
      <c r="A2" s="8" t="inlineStr">
        <is>
          <t xml:space="preserve">Log every hard lift. Watch bar speed &amp; the shoulder column — they tell you when to back off before your body does.</t>
        </is>
      </c>
    </row>
    <row r="4">
      <c r="A4" s="2" t="inlineStr">
        <is>
          <t xml:space="preserve">Date</t>
        </is>
      </c>
      <c r="B4" s="2" t="inlineStr">
        <is>
          <t xml:space="preserve">Day</t>
        </is>
      </c>
      <c r="C4" s="2" t="inlineStr">
        <is>
          <t xml:space="preserve">Lift</t>
        </is>
      </c>
      <c r="D4" s="2" t="inlineStr">
        <is>
          <t xml:space="preserve">Top set (wt×reps)</t>
        </is>
      </c>
      <c r="E4" s="2" t="inlineStr">
        <is>
          <t xml:space="preserve">RPE</t>
        </is>
      </c>
      <c r="F4" s="2" t="inlineStr">
        <is>
          <t xml:space="preserve">Bar speed (1–5)</t>
        </is>
      </c>
      <c r="G4" s="2" t="inlineStr">
        <is>
          <t xml:space="preserve">Shoulder pain (0–10)</t>
        </is>
      </c>
      <c r="H4" s="2" t="inlineStr">
        <is>
          <t xml:space="preserve">Sleep (h)</t>
        </is>
      </c>
      <c r="I4" s="2" t="inlineStr">
        <is>
          <t xml:space="preserve">Notes</t>
        </is>
      </c>
    </row>
    <row r="5">
      <c r="A5" s="11" t="inlineStr">
        <is>
          <t xml:space="preserve"/>
        </is>
      </c>
      <c r="B5" s="11" t="inlineStr">
        <is>
          <t xml:space="preserve"/>
        </is>
      </c>
      <c r="C5" s="11" t="inlineStr">
        <is>
          <t xml:space="preserve"/>
        </is>
      </c>
      <c r="D5" s="11" t="inlineStr">
        <is>
          <t xml:space="preserve"/>
        </is>
      </c>
      <c r="E5" s="11" t="inlineStr">
        <is>
          <t xml:space="preserve"/>
        </is>
      </c>
      <c r="F5" s="11" t="inlineStr">
        <is>
          <t xml:space="preserve"/>
        </is>
      </c>
      <c r="G5" s="11" t="inlineStr">
        <is>
          <t xml:space="preserve"/>
        </is>
      </c>
      <c r="H5" s="11" t="inlineStr">
        <is>
          <t xml:space="preserve"/>
        </is>
      </c>
      <c r="I5" s="10" t="inlineStr">
        <is>
          <t xml:space="preserve"/>
        </is>
      </c>
    </row>
    <row r="6">
      <c r="A6" s="11" t="inlineStr">
        <is>
          <t xml:space="preserve"/>
        </is>
      </c>
      <c r="B6" s="11" t="inlineStr">
        <is>
          <t xml:space="preserve"/>
        </is>
      </c>
      <c r="C6" s="11" t="inlineStr">
        <is>
          <t xml:space="preserve"/>
        </is>
      </c>
      <c r="D6" s="11" t="inlineStr">
        <is>
          <t xml:space="preserve"/>
        </is>
      </c>
      <c r="E6" s="11" t="inlineStr">
        <is>
          <t xml:space="preserve"/>
        </is>
      </c>
      <c r="F6" s="11" t="inlineStr">
        <is>
          <t xml:space="preserve"/>
        </is>
      </c>
      <c r="G6" s="11" t="inlineStr">
        <is>
          <t xml:space="preserve"/>
        </is>
      </c>
      <c r="H6" s="11" t="inlineStr">
        <is>
          <t xml:space="preserve"/>
        </is>
      </c>
      <c r="I6" s="10" t="inlineStr">
        <is>
          <t xml:space="preserve"/>
        </is>
      </c>
    </row>
    <row r="7">
      <c r="A7" s="11" t="inlineStr">
        <is>
          <t xml:space="preserve"/>
        </is>
      </c>
      <c r="B7" s="11" t="inlineStr">
        <is>
          <t xml:space="preserve"/>
        </is>
      </c>
      <c r="C7" s="11" t="inlineStr">
        <is>
          <t xml:space="preserve"/>
        </is>
      </c>
      <c r="D7" s="11" t="inlineStr">
        <is>
          <t xml:space="preserve"/>
        </is>
      </c>
      <c r="E7" s="11" t="inlineStr">
        <is>
          <t xml:space="preserve"/>
        </is>
      </c>
      <c r="F7" s="11" t="inlineStr">
        <is>
          <t xml:space="preserve"/>
        </is>
      </c>
      <c r="G7" s="11" t="inlineStr">
        <is>
          <t xml:space="preserve"/>
        </is>
      </c>
      <c r="H7" s="11" t="inlineStr">
        <is>
          <t xml:space="preserve"/>
        </is>
      </c>
      <c r="I7" s="10" t="inlineStr">
        <is>
          <t xml:space="preserve"/>
        </is>
      </c>
    </row>
    <row r="8">
      <c r="A8" s="11" t="inlineStr">
        <is>
          <t xml:space="preserve"/>
        </is>
      </c>
      <c r="B8" s="11" t="inlineStr">
        <is>
          <t xml:space="preserve"/>
        </is>
      </c>
      <c r="C8" s="11" t="inlineStr">
        <is>
          <t xml:space="preserve"/>
        </is>
      </c>
      <c r="D8" s="11" t="inlineStr">
        <is>
          <t xml:space="preserve"/>
        </is>
      </c>
      <c r="E8" s="11" t="inlineStr">
        <is>
          <t xml:space="preserve"/>
        </is>
      </c>
      <c r="F8" s="11" t="inlineStr">
        <is>
          <t xml:space="preserve"/>
        </is>
      </c>
      <c r="G8" s="11" t="inlineStr">
        <is>
          <t xml:space="preserve"/>
        </is>
      </c>
      <c r="H8" s="11" t="inlineStr">
        <is>
          <t xml:space="preserve"/>
        </is>
      </c>
      <c r="I8" s="10" t="inlineStr">
        <is>
          <t xml:space="preserve"/>
        </is>
      </c>
    </row>
    <row r="9">
      <c r="A9" s="11" t="inlineStr">
        <is>
          <t xml:space="preserve"/>
        </is>
      </c>
      <c r="B9" s="11" t="inlineStr">
        <is>
          <t xml:space="preserve"/>
        </is>
      </c>
      <c r="C9" s="11" t="inlineStr">
        <is>
          <t xml:space="preserve"/>
        </is>
      </c>
      <c r="D9" s="11" t="inlineStr">
        <is>
          <t xml:space="preserve"/>
        </is>
      </c>
      <c r="E9" s="11" t="inlineStr">
        <is>
          <t xml:space="preserve"/>
        </is>
      </c>
      <c r="F9" s="11" t="inlineStr">
        <is>
          <t xml:space="preserve"/>
        </is>
      </c>
      <c r="G9" s="11" t="inlineStr">
        <is>
          <t xml:space="preserve"/>
        </is>
      </c>
      <c r="H9" s="11" t="inlineStr">
        <is>
          <t xml:space="preserve"/>
        </is>
      </c>
      <c r="I9" s="10" t="inlineStr">
        <is>
          <t xml:space="preserve"/>
        </is>
      </c>
    </row>
    <row r="10">
      <c r="A10" s="11" t="inlineStr">
        <is>
          <t xml:space="preserve"/>
        </is>
      </c>
      <c r="B10" s="11" t="inlineStr">
        <is>
          <t xml:space="preserve"/>
        </is>
      </c>
      <c r="C10" s="11" t="inlineStr">
        <is>
          <t xml:space="preserve"/>
        </is>
      </c>
      <c r="D10" s="11" t="inlineStr">
        <is>
          <t xml:space="preserve"/>
        </is>
      </c>
      <c r="E10" s="11" t="inlineStr">
        <is>
          <t xml:space="preserve"/>
        </is>
      </c>
      <c r="F10" s="11" t="inlineStr">
        <is>
          <t xml:space="preserve"/>
        </is>
      </c>
      <c r="G10" s="11" t="inlineStr">
        <is>
          <t xml:space="preserve"/>
        </is>
      </c>
      <c r="H10" s="11" t="inlineStr">
        <is>
          <t xml:space="preserve"/>
        </is>
      </c>
      <c r="I10" s="10" t="inlineStr">
        <is>
          <t xml:space="preserve"/>
        </is>
      </c>
    </row>
    <row r="11">
      <c r="A11" s="11" t="inlineStr">
        <is>
          <t xml:space="preserve"/>
        </is>
      </c>
      <c r="B11" s="11" t="inlineStr">
        <is>
          <t xml:space="preserve"/>
        </is>
      </c>
      <c r="C11" s="11" t="inlineStr">
        <is>
          <t xml:space="preserve"/>
        </is>
      </c>
      <c r="D11" s="11" t="inlineStr">
        <is>
          <t xml:space="preserve"/>
        </is>
      </c>
      <c r="E11" s="11" t="inlineStr">
        <is>
          <t xml:space="preserve"/>
        </is>
      </c>
      <c r="F11" s="11" t="inlineStr">
        <is>
          <t xml:space="preserve"/>
        </is>
      </c>
      <c r="G11" s="11" t="inlineStr">
        <is>
          <t xml:space="preserve"/>
        </is>
      </c>
      <c r="H11" s="11" t="inlineStr">
        <is>
          <t xml:space="preserve"/>
        </is>
      </c>
      <c r="I11" s="10" t="inlineStr">
        <is>
          <t xml:space="preserve"/>
        </is>
      </c>
    </row>
    <row r="12">
      <c r="A12" s="11" t="inlineStr">
        <is>
          <t xml:space="preserve"/>
        </is>
      </c>
      <c r="B12" s="11" t="inlineStr">
        <is>
          <t xml:space="preserve"/>
        </is>
      </c>
      <c r="C12" s="11" t="inlineStr">
        <is>
          <t xml:space="preserve"/>
        </is>
      </c>
      <c r="D12" s="11" t="inlineStr">
        <is>
          <t xml:space="preserve"/>
        </is>
      </c>
      <c r="E12" s="11" t="inlineStr">
        <is>
          <t xml:space="preserve"/>
        </is>
      </c>
      <c r="F12" s="11" t="inlineStr">
        <is>
          <t xml:space="preserve"/>
        </is>
      </c>
      <c r="G12" s="11" t="inlineStr">
        <is>
          <t xml:space="preserve"/>
        </is>
      </c>
      <c r="H12" s="11" t="inlineStr">
        <is>
          <t xml:space="preserve"/>
        </is>
      </c>
      <c r="I12" s="10" t="inlineStr">
        <is>
          <t xml:space="preserve"/>
        </is>
      </c>
    </row>
    <row r="13">
      <c r="A13" s="11" t="inlineStr">
        <is>
          <t xml:space="preserve"/>
        </is>
      </c>
      <c r="B13" s="11" t="inlineStr">
        <is>
          <t xml:space="preserve"/>
        </is>
      </c>
      <c r="C13" s="11" t="inlineStr">
        <is>
          <t xml:space="preserve"/>
        </is>
      </c>
      <c r="D13" s="11" t="inlineStr">
        <is>
          <t xml:space="preserve"/>
        </is>
      </c>
      <c r="E13" s="11" t="inlineStr">
        <is>
          <t xml:space="preserve"/>
        </is>
      </c>
      <c r="F13" s="11" t="inlineStr">
        <is>
          <t xml:space="preserve"/>
        </is>
      </c>
      <c r="G13" s="11" t="inlineStr">
        <is>
          <t xml:space="preserve"/>
        </is>
      </c>
      <c r="H13" s="11" t="inlineStr">
        <is>
          <t xml:space="preserve"/>
        </is>
      </c>
      <c r="I13" s="10" t="inlineStr">
        <is>
          <t xml:space="preserve"/>
        </is>
      </c>
    </row>
    <row r="14">
      <c r="A14" s="11" t="inlineStr">
        <is>
          <t xml:space="preserve"/>
        </is>
      </c>
      <c r="B14" s="11" t="inlineStr">
        <is>
          <t xml:space="preserve"/>
        </is>
      </c>
      <c r="C14" s="11" t="inlineStr">
        <is>
          <t xml:space="preserve"/>
        </is>
      </c>
      <c r="D14" s="11" t="inlineStr">
        <is>
          <t xml:space="preserve"/>
        </is>
      </c>
      <c r="E14" s="11" t="inlineStr">
        <is>
          <t xml:space="preserve"/>
        </is>
      </c>
      <c r="F14" s="11" t="inlineStr">
        <is>
          <t xml:space="preserve"/>
        </is>
      </c>
      <c r="G14" s="11" t="inlineStr">
        <is>
          <t xml:space="preserve"/>
        </is>
      </c>
      <c r="H14" s="11" t="inlineStr">
        <is>
          <t xml:space="preserve"/>
        </is>
      </c>
      <c r="I14" s="10" t="inlineStr">
        <is>
          <t xml:space="preserve"/>
        </is>
      </c>
    </row>
    <row r="15">
      <c r="A15" s="11" t="inlineStr">
        <is>
          <t xml:space="preserve"/>
        </is>
      </c>
      <c r="B15" s="11" t="inlineStr">
        <is>
          <t xml:space="preserve"/>
        </is>
      </c>
      <c r="C15" s="11" t="inlineStr">
        <is>
          <t xml:space="preserve"/>
        </is>
      </c>
      <c r="D15" s="11" t="inlineStr">
        <is>
          <t xml:space="preserve"/>
        </is>
      </c>
      <c r="E15" s="11" t="inlineStr">
        <is>
          <t xml:space="preserve"/>
        </is>
      </c>
      <c r="F15" s="11" t="inlineStr">
        <is>
          <t xml:space="preserve"/>
        </is>
      </c>
      <c r="G15" s="11" t="inlineStr">
        <is>
          <t xml:space="preserve"/>
        </is>
      </c>
      <c r="H15" s="11" t="inlineStr">
        <is>
          <t xml:space="preserve"/>
        </is>
      </c>
      <c r="I15" s="10" t="inlineStr">
        <is>
          <t xml:space="preserve"/>
        </is>
      </c>
    </row>
    <row r="16">
      <c r="A16" s="11" t="inlineStr">
        <is>
          <t xml:space="preserve"/>
        </is>
      </c>
      <c r="B16" s="11" t="inlineStr">
        <is>
          <t xml:space="preserve"/>
        </is>
      </c>
      <c r="C16" s="11" t="inlineStr">
        <is>
          <t xml:space="preserve"/>
        </is>
      </c>
      <c r="D16" s="11" t="inlineStr">
        <is>
          <t xml:space="preserve"/>
        </is>
      </c>
      <c r="E16" s="11" t="inlineStr">
        <is>
          <t xml:space="preserve"/>
        </is>
      </c>
      <c r="F16" s="11" t="inlineStr">
        <is>
          <t xml:space="preserve"/>
        </is>
      </c>
      <c r="G16" s="11" t="inlineStr">
        <is>
          <t xml:space="preserve"/>
        </is>
      </c>
      <c r="H16" s="11" t="inlineStr">
        <is>
          <t xml:space="preserve"/>
        </is>
      </c>
      <c r="I16" s="10" t="inlineStr">
        <is>
          <t xml:space="preserve"/>
        </is>
      </c>
    </row>
    <row r="17">
      <c r="A17" s="11" t="inlineStr">
        <is>
          <t xml:space="preserve"/>
        </is>
      </c>
      <c r="B17" s="11" t="inlineStr">
        <is>
          <t xml:space="preserve"/>
        </is>
      </c>
      <c r="C17" s="11" t="inlineStr">
        <is>
          <t xml:space="preserve"/>
        </is>
      </c>
      <c r="D17" s="11" t="inlineStr">
        <is>
          <t xml:space="preserve"/>
        </is>
      </c>
      <c r="E17" s="11" t="inlineStr">
        <is>
          <t xml:space="preserve"/>
        </is>
      </c>
      <c r="F17" s="11" t="inlineStr">
        <is>
          <t xml:space="preserve"/>
        </is>
      </c>
      <c r="G17" s="11" t="inlineStr">
        <is>
          <t xml:space="preserve"/>
        </is>
      </c>
      <c r="H17" s="11" t="inlineStr">
        <is>
          <t xml:space="preserve"/>
        </is>
      </c>
      <c r="I17" s="10" t="inlineStr">
        <is>
          <t xml:space="preserve"/>
        </is>
      </c>
    </row>
    <row r="18">
      <c r="A18" s="11" t="inlineStr">
        <is>
          <t xml:space="preserve"/>
        </is>
      </c>
      <c r="B18" s="11" t="inlineStr">
        <is>
          <t xml:space="preserve"/>
        </is>
      </c>
      <c r="C18" s="11" t="inlineStr">
        <is>
          <t xml:space="preserve"/>
        </is>
      </c>
      <c r="D18" s="11" t="inlineStr">
        <is>
          <t xml:space="preserve"/>
        </is>
      </c>
      <c r="E18" s="11" t="inlineStr">
        <is>
          <t xml:space="preserve"/>
        </is>
      </c>
      <c r="F18" s="11" t="inlineStr">
        <is>
          <t xml:space="preserve"/>
        </is>
      </c>
      <c r="G18" s="11" t="inlineStr">
        <is>
          <t xml:space="preserve"/>
        </is>
      </c>
      <c r="H18" s="11" t="inlineStr">
        <is>
          <t xml:space="preserve"/>
        </is>
      </c>
      <c r="I18" s="10" t="inlineStr">
        <is>
          <t xml:space="preserve"/>
        </is>
      </c>
    </row>
    <row r="19">
      <c r="A19" s="11" t="inlineStr">
        <is>
          <t xml:space="preserve"/>
        </is>
      </c>
      <c r="B19" s="11" t="inlineStr">
        <is>
          <t xml:space="preserve"/>
        </is>
      </c>
      <c r="C19" s="11" t="inlineStr">
        <is>
          <t xml:space="preserve"/>
        </is>
      </c>
      <c r="D19" s="11" t="inlineStr">
        <is>
          <t xml:space="preserve"/>
        </is>
      </c>
      <c r="E19" s="11" t="inlineStr">
        <is>
          <t xml:space="preserve"/>
        </is>
      </c>
      <c r="F19" s="11" t="inlineStr">
        <is>
          <t xml:space="preserve"/>
        </is>
      </c>
      <c r="G19" s="11" t="inlineStr">
        <is>
          <t xml:space="preserve"/>
        </is>
      </c>
      <c r="H19" s="11" t="inlineStr">
        <is>
          <t xml:space="preserve"/>
        </is>
      </c>
      <c r="I19" s="10" t="inlineStr">
        <is>
          <t xml:space="preserve"/>
        </is>
      </c>
    </row>
    <row r="20">
      <c r="A20" s="11" t="inlineStr">
        <is>
          <t xml:space="preserve"/>
        </is>
      </c>
      <c r="B20" s="11" t="inlineStr">
        <is>
          <t xml:space="preserve"/>
        </is>
      </c>
      <c r="C20" s="11" t="inlineStr">
        <is>
          <t xml:space="preserve"/>
        </is>
      </c>
      <c r="D20" s="11" t="inlineStr">
        <is>
          <t xml:space="preserve"/>
        </is>
      </c>
      <c r="E20" s="11" t="inlineStr">
        <is>
          <t xml:space="preserve"/>
        </is>
      </c>
      <c r="F20" s="11" t="inlineStr">
        <is>
          <t xml:space="preserve"/>
        </is>
      </c>
      <c r="G20" s="11" t="inlineStr">
        <is>
          <t xml:space="preserve"/>
        </is>
      </c>
      <c r="H20" s="11" t="inlineStr">
        <is>
          <t xml:space="preserve"/>
        </is>
      </c>
      <c r="I20" s="10" t="inlineStr">
        <is>
          <t xml:space="preserve"/>
        </is>
      </c>
    </row>
    <row r="21">
      <c r="A21" s="11" t="inlineStr">
        <is>
          <t xml:space="preserve"/>
        </is>
      </c>
      <c r="B21" s="11" t="inlineStr">
        <is>
          <t xml:space="preserve"/>
        </is>
      </c>
      <c r="C21" s="11" t="inlineStr">
        <is>
          <t xml:space="preserve"/>
        </is>
      </c>
      <c r="D21" s="11" t="inlineStr">
        <is>
          <t xml:space="preserve"/>
        </is>
      </c>
      <c r="E21" s="11" t="inlineStr">
        <is>
          <t xml:space="preserve"/>
        </is>
      </c>
      <c r="F21" s="11" t="inlineStr">
        <is>
          <t xml:space="preserve"/>
        </is>
      </c>
      <c r="G21" s="11" t="inlineStr">
        <is>
          <t xml:space="preserve"/>
        </is>
      </c>
      <c r="H21" s="11" t="inlineStr">
        <is>
          <t xml:space="preserve"/>
        </is>
      </c>
      <c r="I21" s="10" t="inlineStr">
        <is>
          <t xml:space="preserve"/>
        </is>
      </c>
    </row>
    <row r="22">
      <c r="A22" s="11" t="inlineStr">
        <is>
          <t xml:space="preserve"/>
        </is>
      </c>
      <c r="B22" s="11" t="inlineStr">
        <is>
          <t xml:space="preserve"/>
        </is>
      </c>
      <c r="C22" s="11" t="inlineStr">
        <is>
          <t xml:space="preserve"/>
        </is>
      </c>
      <c r="D22" s="11" t="inlineStr">
        <is>
          <t xml:space="preserve"/>
        </is>
      </c>
      <c r="E22" s="11" t="inlineStr">
        <is>
          <t xml:space="preserve"/>
        </is>
      </c>
      <c r="F22" s="11" t="inlineStr">
        <is>
          <t xml:space="preserve"/>
        </is>
      </c>
      <c r="G22" s="11" t="inlineStr">
        <is>
          <t xml:space="preserve"/>
        </is>
      </c>
      <c r="H22" s="11" t="inlineStr">
        <is>
          <t xml:space="preserve"/>
        </is>
      </c>
      <c r="I22" s="10" t="inlineStr">
        <is>
          <t xml:space="preserve"/>
        </is>
      </c>
    </row>
    <row r="23">
      <c r="A23" s="11" t="inlineStr">
        <is>
          <t xml:space="preserve"/>
        </is>
      </c>
      <c r="B23" s="11" t="inlineStr">
        <is>
          <t xml:space="preserve"/>
        </is>
      </c>
      <c r="C23" s="11" t="inlineStr">
        <is>
          <t xml:space="preserve"/>
        </is>
      </c>
      <c r="D23" s="11" t="inlineStr">
        <is>
          <t xml:space="preserve"/>
        </is>
      </c>
      <c r="E23" s="11" t="inlineStr">
        <is>
          <t xml:space="preserve"/>
        </is>
      </c>
      <c r="F23" s="11" t="inlineStr">
        <is>
          <t xml:space="preserve"/>
        </is>
      </c>
      <c r="G23" s="11" t="inlineStr">
        <is>
          <t xml:space="preserve"/>
        </is>
      </c>
      <c r="H23" s="11" t="inlineStr">
        <is>
          <t xml:space="preserve"/>
        </is>
      </c>
      <c r="I23" s="10" t="inlineStr">
        <is>
          <t xml:space="preserve"/>
        </is>
      </c>
    </row>
    <row r="24">
      <c r="A24" s="11" t="inlineStr">
        <is>
          <t xml:space="preserve"/>
        </is>
      </c>
      <c r="B24" s="11" t="inlineStr">
        <is>
          <t xml:space="preserve"/>
        </is>
      </c>
      <c r="C24" s="11" t="inlineStr">
        <is>
          <t xml:space="preserve"/>
        </is>
      </c>
      <c r="D24" s="11" t="inlineStr">
        <is>
          <t xml:space="preserve"/>
        </is>
      </c>
      <c r="E24" s="11" t="inlineStr">
        <is>
          <t xml:space="preserve"/>
        </is>
      </c>
      <c r="F24" s="11" t="inlineStr">
        <is>
          <t xml:space="preserve"/>
        </is>
      </c>
      <c r="G24" s="11" t="inlineStr">
        <is>
          <t xml:space="preserve"/>
        </is>
      </c>
      <c r="H24" s="11" t="inlineStr">
        <is>
          <t xml:space="preserve"/>
        </is>
      </c>
      <c r="I24" s="10" t="inlineStr">
        <is>
          <t xml:space="preserve"/>
        </is>
      </c>
    </row>
    <row r="25">
      <c r="A25" s="11" t="inlineStr">
        <is>
          <t xml:space="preserve"/>
        </is>
      </c>
      <c r="B25" s="11" t="inlineStr">
        <is>
          <t xml:space="preserve"/>
        </is>
      </c>
      <c r="C25" s="11" t="inlineStr">
        <is>
          <t xml:space="preserve"/>
        </is>
      </c>
      <c r="D25" s="11" t="inlineStr">
        <is>
          <t xml:space="preserve"/>
        </is>
      </c>
      <c r="E25" s="11" t="inlineStr">
        <is>
          <t xml:space="preserve"/>
        </is>
      </c>
      <c r="F25" s="11" t="inlineStr">
        <is>
          <t xml:space="preserve"/>
        </is>
      </c>
      <c r="G25" s="11" t="inlineStr">
        <is>
          <t xml:space="preserve"/>
        </is>
      </c>
      <c r="H25" s="11" t="inlineStr">
        <is>
          <t xml:space="preserve"/>
        </is>
      </c>
      <c r="I25" s="10" t="inlineStr">
        <is>
          <t xml:space="preserve"/>
        </is>
      </c>
    </row>
    <row r="26">
      <c r="A26" s="11" t="inlineStr">
        <is>
          <t xml:space="preserve"/>
        </is>
      </c>
      <c r="B26" s="11" t="inlineStr">
        <is>
          <t xml:space="preserve"/>
        </is>
      </c>
      <c r="C26" s="11" t="inlineStr">
        <is>
          <t xml:space="preserve"/>
        </is>
      </c>
      <c r="D26" s="11" t="inlineStr">
        <is>
          <t xml:space="preserve"/>
        </is>
      </c>
      <c r="E26" s="11" t="inlineStr">
        <is>
          <t xml:space="preserve"/>
        </is>
      </c>
      <c r="F26" s="11" t="inlineStr">
        <is>
          <t xml:space="preserve"/>
        </is>
      </c>
      <c r="G26" s="11" t="inlineStr">
        <is>
          <t xml:space="preserve"/>
        </is>
      </c>
      <c r="H26" s="11" t="inlineStr">
        <is>
          <t xml:space="preserve"/>
        </is>
      </c>
      <c r="I26" s="10" t="inlineStr">
        <is>
          <t xml:space="preserve"/>
        </is>
      </c>
    </row>
    <row r="27">
      <c r="A27" s="11" t="inlineStr">
        <is>
          <t xml:space="preserve"/>
        </is>
      </c>
      <c r="B27" s="11" t="inlineStr">
        <is>
          <t xml:space="preserve"/>
        </is>
      </c>
      <c r="C27" s="11" t="inlineStr">
        <is>
          <t xml:space="preserve"/>
        </is>
      </c>
      <c r="D27" s="11" t="inlineStr">
        <is>
          <t xml:space="preserve"/>
        </is>
      </c>
      <c r="E27" s="11" t="inlineStr">
        <is>
          <t xml:space="preserve"/>
        </is>
      </c>
      <c r="F27" s="11" t="inlineStr">
        <is>
          <t xml:space="preserve"/>
        </is>
      </c>
      <c r="G27" s="11" t="inlineStr">
        <is>
          <t xml:space="preserve"/>
        </is>
      </c>
      <c r="H27" s="11" t="inlineStr">
        <is>
          <t xml:space="preserve"/>
        </is>
      </c>
      <c r="I27" s="10" t="inlineStr">
        <is>
          <t xml:space="preserve"/>
        </is>
      </c>
    </row>
    <row r="28">
      <c r="A28" s="11" t="inlineStr">
        <is>
          <t xml:space="preserve"/>
        </is>
      </c>
      <c r="B28" s="11" t="inlineStr">
        <is>
          <t xml:space="preserve"/>
        </is>
      </c>
      <c r="C28" s="11" t="inlineStr">
        <is>
          <t xml:space="preserve"/>
        </is>
      </c>
      <c r="D28" s="11" t="inlineStr">
        <is>
          <t xml:space="preserve"/>
        </is>
      </c>
      <c r="E28" s="11" t="inlineStr">
        <is>
          <t xml:space="preserve"/>
        </is>
      </c>
      <c r="F28" s="11" t="inlineStr">
        <is>
          <t xml:space="preserve"/>
        </is>
      </c>
      <c r="G28" s="11" t="inlineStr">
        <is>
          <t xml:space="preserve"/>
        </is>
      </c>
      <c r="H28" s="11" t="inlineStr">
        <is>
          <t xml:space="preserve"/>
        </is>
      </c>
      <c r="I28" s="10" t="inlineStr">
        <is>
          <t xml:space="preserve"/>
        </is>
      </c>
    </row>
    <row r="29">
      <c r="A29" s="11" t="inlineStr">
        <is>
          <t xml:space="preserve"/>
        </is>
      </c>
      <c r="B29" s="11" t="inlineStr">
        <is>
          <t xml:space="preserve"/>
        </is>
      </c>
      <c r="C29" s="11" t="inlineStr">
        <is>
          <t xml:space="preserve"/>
        </is>
      </c>
      <c r="D29" s="11" t="inlineStr">
        <is>
          <t xml:space="preserve"/>
        </is>
      </c>
      <c r="E29" s="11" t="inlineStr">
        <is>
          <t xml:space="preserve"/>
        </is>
      </c>
      <c r="F29" s="11" t="inlineStr">
        <is>
          <t xml:space="preserve"/>
        </is>
      </c>
      <c r="G29" s="11" t="inlineStr">
        <is>
          <t xml:space="preserve"/>
        </is>
      </c>
      <c r="H29" s="11" t="inlineStr">
        <is>
          <t xml:space="preserve"/>
        </is>
      </c>
      <c r="I29" s="10" t="inlineStr">
        <is>
          <t xml:space="preserve"/>
        </is>
      </c>
    </row>
    <row r="30">
      <c r="A30" s="11" t="inlineStr">
        <is>
          <t xml:space="preserve"/>
        </is>
      </c>
      <c r="B30" s="11" t="inlineStr">
        <is>
          <t xml:space="preserve"/>
        </is>
      </c>
      <c r="C30" s="11" t="inlineStr">
        <is>
          <t xml:space="preserve"/>
        </is>
      </c>
      <c r="D30" s="11" t="inlineStr">
        <is>
          <t xml:space="preserve"/>
        </is>
      </c>
      <c r="E30" s="11" t="inlineStr">
        <is>
          <t xml:space="preserve"/>
        </is>
      </c>
      <c r="F30" s="11" t="inlineStr">
        <is>
          <t xml:space="preserve"/>
        </is>
      </c>
      <c r="G30" s="11" t="inlineStr">
        <is>
          <t xml:space="preserve"/>
        </is>
      </c>
      <c r="H30" s="11" t="inlineStr">
        <is>
          <t xml:space="preserve"/>
        </is>
      </c>
      <c r="I30" s="10" t="inlineStr">
        <is>
          <t xml:space="preserve"/>
        </is>
      </c>
    </row>
    <row r="32">
      <c r="A32" s="3" t="inlineStr">
        <is>
          <t xml:space="preserve">Training Max tracker (update each cycle)</t>
        </is>
      </c>
      <c r="B32" s="3" t="inlineStr">
        <is>
          <t xml:space="preserve"/>
        </is>
      </c>
      <c r="C32" s="3" t="inlineStr">
        <is>
          <t xml:space="preserve"/>
        </is>
      </c>
      <c r="D32" s="3" t="inlineStr">
        <is>
          <t xml:space="preserve"/>
        </is>
      </c>
      <c r="E32" s="3" t="inlineStr">
        <is>
          <t xml:space="preserve"/>
        </is>
      </c>
      <c r="F32" s="3" t="inlineStr">
        <is>
          <t xml:space="preserve"/>
        </is>
      </c>
    </row>
    <row r="33">
      <c r="A33" s="2" t="inlineStr">
        <is>
          <t xml:space="preserve">Cycle #</t>
        </is>
      </c>
      <c r="B33" s="2" t="inlineStr">
        <is>
          <t xml:space="preserve">Date</t>
        </is>
      </c>
      <c r="C33" s="2" t="inlineStr">
        <is>
          <t xml:space="preserve">DL TM</t>
        </is>
      </c>
      <c r="D33" s="2" t="inlineStr">
        <is>
          <t xml:space="preserve">Squat TM</t>
        </is>
      </c>
      <c r="E33" s="2" t="inlineStr">
        <is>
          <t xml:space="preserve">Bench TM</t>
        </is>
      </c>
      <c r="F33" s="2" t="inlineStr">
        <is>
          <t xml:space="preserve">Notes</t>
        </is>
      </c>
    </row>
    <row r="34">
      <c r="A34" s="11" t="inlineStr">
        <is>
          <t xml:space="preserve"/>
        </is>
      </c>
      <c r="B34" s="11" t="inlineStr">
        <is>
          <t xml:space="preserve"/>
        </is>
      </c>
      <c r="C34" s="11" t="inlineStr">
        <is>
          <t xml:space="preserve"/>
        </is>
      </c>
      <c r="D34" s="11" t="inlineStr">
        <is>
          <t xml:space="preserve"/>
        </is>
      </c>
      <c r="E34" s="11" t="inlineStr">
        <is>
          <t xml:space="preserve"/>
        </is>
      </c>
      <c r="F34" s="10" t="inlineStr">
        <is>
          <t xml:space="preserve"/>
        </is>
      </c>
    </row>
    <row r="35">
      <c r="A35" s="11" t="inlineStr">
        <is>
          <t xml:space="preserve"/>
        </is>
      </c>
      <c r="B35" s="11" t="inlineStr">
        <is>
          <t xml:space="preserve"/>
        </is>
      </c>
      <c r="C35" s="11" t="inlineStr">
        <is>
          <t xml:space="preserve"/>
        </is>
      </c>
      <c r="D35" s="11" t="inlineStr">
        <is>
          <t xml:space="preserve"/>
        </is>
      </c>
      <c r="E35" s="11" t="inlineStr">
        <is>
          <t xml:space="preserve"/>
        </is>
      </c>
      <c r="F35" s="10" t="inlineStr">
        <is>
          <t xml:space="preserve"/>
        </is>
      </c>
    </row>
    <row r="36">
      <c r="A36" s="11" t="inlineStr">
        <is>
          <t xml:space="preserve"/>
        </is>
      </c>
      <c r="B36" s="11" t="inlineStr">
        <is>
          <t xml:space="preserve"/>
        </is>
      </c>
      <c r="C36" s="11" t="inlineStr">
        <is>
          <t xml:space="preserve"/>
        </is>
      </c>
      <c r="D36" s="11" t="inlineStr">
        <is>
          <t xml:space="preserve"/>
        </is>
      </c>
      <c r="E36" s="11" t="inlineStr">
        <is>
          <t xml:space="preserve"/>
        </is>
      </c>
      <c r="F36" s="10" t="inlineStr">
        <is>
          <t xml:space="preserve"/>
        </is>
      </c>
    </row>
    <row r="37">
      <c r="A37" s="11" t="inlineStr">
        <is>
          <t xml:space="preserve"/>
        </is>
      </c>
      <c r="B37" s="11" t="inlineStr">
        <is>
          <t xml:space="preserve"/>
        </is>
      </c>
      <c r="C37" s="11" t="inlineStr">
        <is>
          <t xml:space="preserve"/>
        </is>
      </c>
      <c r="D37" s="11" t="inlineStr">
        <is>
          <t xml:space="preserve"/>
        </is>
      </c>
      <c r="E37" s="11" t="inlineStr">
        <is>
          <t xml:space="preserve"/>
        </is>
      </c>
      <c r="F37" s="10" t="inlineStr">
        <is>
          <t xml:space="preserve"/>
        </is>
      </c>
    </row>
    <row r="38">
      <c r="A38" s="11" t="inlineStr">
        <is>
          <t xml:space="preserve"/>
        </is>
      </c>
      <c r="B38" s="11" t="inlineStr">
        <is>
          <t xml:space="preserve"/>
        </is>
      </c>
      <c r="C38" s="11" t="inlineStr">
        <is>
          <t xml:space="preserve"/>
        </is>
      </c>
      <c r="D38" s="11" t="inlineStr">
        <is>
          <t xml:space="preserve"/>
        </is>
      </c>
      <c r="E38" s="11" t="inlineStr">
        <is>
          <t xml:space="preserve"/>
        </is>
      </c>
      <c r="F38" s="10" t="inlineStr">
        <is>
          <t xml:space="preserve"/>
        </is>
      </c>
    </row>
    <row r="39">
      <c r="A39" s="11" t="inlineStr">
        <is>
          <t xml:space="preserve"/>
        </is>
      </c>
      <c r="B39" s="11" t="inlineStr">
        <is>
          <t xml:space="preserve"/>
        </is>
      </c>
      <c r="C39" s="11" t="inlineStr">
        <is>
          <t xml:space="preserve"/>
        </is>
      </c>
      <c r="D39" s="11" t="inlineStr">
        <is>
          <t xml:space="preserve"/>
        </is>
      </c>
      <c r="E39" s="11" t="inlineStr">
        <is>
          <t xml:space="preserve"/>
        </is>
      </c>
      <c r="F39" s="10" t="inlineStr">
        <is>
          <t xml:space="preserve"/>
        </is>
      </c>
    </row>
    <row r="40">
      <c r="A40" s="11" t="inlineStr">
        <is>
          <t xml:space="preserve"/>
        </is>
      </c>
      <c r="B40" s="11" t="inlineStr">
        <is>
          <t xml:space="preserve"/>
        </is>
      </c>
      <c r="C40" s="11" t="inlineStr">
        <is>
          <t xml:space="preserve"/>
        </is>
      </c>
      <c r="D40" s="11" t="inlineStr">
        <is>
          <t xml:space="preserve"/>
        </is>
      </c>
      <c r="E40" s="11" t="inlineStr">
        <is>
          <t xml:space="preserve"/>
        </is>
      </c>
      <c r="F40" s="10" t="inlineStr">
        <is>
          <t xml:space="preserve"/>
        </is>
      </c>
    </row>
    <row r="41">
      <c r="A41" s="11" t="inlineStr">
        <is>
          <t xml:space="preserve"/>
        </is>
      </c>
      <c r="B41" s="11" t="inlineStr">
        <is>
          <t xml:space="preserve"/>
        </is>
      </c>
      <c r="C41" s="11" t="inlineStr">
        <is>
          <t xml:space="preserve"/>
        </is>
      </c>
      <c r="D41" s="11" t="inlineStr">
        <is>
          <t xml:space="preserve"/>
        </is>
      </c>
      <c r="E41" s="11" t="inlineStr">
        <is>
          <t xml:space="preserve"/>
        </is>
      </c>
      <c r="F41" s="10" t="inlineStr">
        <is>
          <t xml:space="preserve"/>
        </is>
      </c>
    </row>
  </sheetData>
</worksheet>
</file>